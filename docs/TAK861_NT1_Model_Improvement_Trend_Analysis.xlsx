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f579d9d5b54af0" /></Relationships>
</file>

<file path=xl/workbook.xml><?xml version="1.0" encoding="utf-8"?>
<x:workbook xmlns:x="http://schemas.openxmlformats.org/spreadsheetml/2006/main">
  <x:sheets>
    <x:sheet xmlns:r="http://schemas.openxmlformats.org/officeDocument/2006/relationships" name="Overview" sheetId="1" r:id="R495c628faea145c2"/>
    <x:sheet xmlns:r="http://schemas.openxmlformats.org/officeDocument/2006/relationships" name="Rules &amp; Data Lineage" sheetId="2" r:id="Ra00b970287e44bc9"/>
    <x:sheet xmlns:r="http://schemas.openxmlformats.org/officeDocument/2006/relationships" name="Cohort Funnel" sheetId="3" r:id="Rdfb155d309024eab"/>
    <x:sheet xmlns:r="http://schemas.openxmlformats.org/officeDocument/2006/relationships" name="Therapy Sequence" sheetId="4" r:id="R7f41158f275e4c26"/>
    <x:sheet xmlns:r="http://schemas.openxmlformats.org/officeDocument/2006/relationships" name="Medical Utilization" sheetId="5" r:id="R1011dde547ad471b"/>
    <x:sheet xmlns:r="http://schemas.openxmlformats.org/officeDocument/2006/relationships" name="Diagnosis &amp; Procedure Signals" sheetId="6" r:id="Rd1c33cfb6362488d"/>
    <x:sheet xmlns:r="http://schemas.openxmlformats.org/officeDocument/2006/relationships" name="Provider &amp; Specialist" sheetId="7" r:id="Ra96abef5feb84b9b"/>
    <x:sheet xmlns:r="http://schemas.openxmlformats.org/officeDocument/2006/relationships" name="Plan Access" sheetId="8" r:id="Rb7c3c0749e1d4746"/>
    <x:sheet xmlns:r="http://schemas.openxmlformats.org/officeDocument/2006/relationships" name="Existing Feature Inventory" sheetId="9" r:id="Re9c396a7947e4c63"/>
    <x:sheet xmlns:r="http://schemas.openxmlformats.org/officeDocument/2006/relationships" name="Feature Gap Analysis" sheetId="10" r:id="Rd96d99d0ce8d43be"/>
    <x:sheet xmlns:r="http://schemas.openxmlformats.org/officeDocument/2006/relationships" name="Modeling Strategy" sheetId="11" r:id="R4e0710853b814583"/>
    <x:sheet xmlns:r="http://schemas.openxmlformats.org/officeDocument/2006/relationships" name="Next Steps" sheetId="12" r:id="R6cd52de6fbd94f2f"/>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
    <x:numFmt numFmtId="201" formatCode="yyyy-mm-dd"/>
    <x:numFmt numFmtId="202" formatCode="+#,##0;-#,##0;0"/>
    <x:numFmt numFmtId="203" formatCode="0.00"/>
    <x:numFmt numFmtId="204" formatCode="+0.00;-0.00;0.00"/>
    <x:numFmt numFmtId="205" formatCode="0.0%"/>
    <x:numFmt numFmtId="206" formatCode="+0.0;-0.0;0.0"/>
    <x:numFmt numFmtId="207" formatCode="0"/>
    <x:numFmt numFmtId="208" formatCode="0.0"/>
    <x:numFmt numFmtId="209" formatCode="@"/>
    <x:numFmt numFmtId="210" formatCode="&quot;≈ &quot;0"/>
    <x:numFmt numFmtId="211" formatCode="&quot;≈ &quot;+0;&quot;≈ &quot;-0;&quot;≈ &quot;0"/>
  </x:numFmts>
  <x:fonts count="6">
    <x:font>
      <x:sz val="11"/>
      <x:name val="Carlito"/>
    </x:font>
    <x:font>
      <x:sz val="11"/>
      <x:color rgb="FF243449"/>
      <x:name val="Arial"/>
    </x:font>
    <x:font>
      <x:b/>
      <x:sz val="17"/>
      <x:color rgb="FF243449"/>
      <x:name val="Arial"/>
    </x:font>
    <x:font>
      <x:b/>
      <x:sz val="11"/>
      <x:color rgb="FF243449"/>
      <x:name val="Arial"/>
    </x:font>
    <x:font>
      <x:sz val="11"/>
      <x:color rgb="FF243449"/>
      <x:name val="Arial"/>
    </x:font>
    <x:font>
      <x:b/>
      <x:sz val="11"/>
      <x:color rgb="FFFFFFFF"/>
      <x:name val="Arial"/>
    </x:font>
  </x:fonts>
  <x:fills count="5">
    <x:fill>
      <x:patternFill patternType="none"/>
    </x:fill>
    <x:fill>
      <x:patternFill patternType="gray125"/>
    </x:fill>
    <x:fill>
      <x:patternFill patternType="solid">
        <x:fgColor rgb="FFEEF3F7"/>
      </x:patternFill>
    </x:fill>
    <x:fill>
      <x:patternFill patternType="solid">
        <x:fgColor rgb="FF203B5B"/>
      </x:patternFill>
    </x:fill>
    <x:fill>
      <x:patternFill patternType="solid">
        <x:fgColor rgb="FFFFF1D6"/>
      </x:patternFill>
    </x:fill>
  </x:fills>
  <x:borders count="2">
    <x:border/>
    <x:border>
      <x:bottom style="thin">
        <x:color rgb="FF507CA4"/>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xf numFmtId="208"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4" fontId="1" fillId="0" borderId="0" xfId="0" applyNumberFormat="1" applyFont="1" applyFill="1" applyBorder="1" applyAlignment="1">
      <x:alignment horizontal="right" vertical="center" wrapText="1"/>
    </x:xf>
    <x:xf numFmtId="205" fontId="1" fillId="0" borderId="0" xfId="0" applyNumberFormat="1" applyFont="1" applyFill="1" applyBorder="1" applyAlignment="1">
      <x:alignment horizontal="right" vertical="center" wrapText="1"/>
    </x:xf>
    <x:xf numFmtId="206" fontId="1" fillId="0" borderId="0" xfId="0" applyNumberFormat="1" applyFont="1" applyFill="1" applyBorder="1" applyAlignment="1">
      <x:alignment horizontal="right" vertical="center" wrapText="1"/>
    </x:xf>
    <x:xf numFmtId="207" fontId="1" fillId="0" borderId="0" xfId="0" applyNumberFormat="1" applyFont="1" applyFill="1" applyBorder="1" applyAlignment="1">
      <x:alignment horizontal="right" vertical="center" wrapText="1"/>
    </x:xf>
    <x:xf numFmtId="208" fontId="1" fillId="0" borderId="0" xfId="0" applyNumberFormat="1" applyFont="1" applyFill="1" applyBorder="1" applyAlignment="1">
      <x:alignment horizontal="righ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5" fontId="1" fillId="0" borderId="0" xfId="0" applyNumberFormat="1" applyFont="1" applyFill="1" applyBorder="1" applyAlignment="1">
      <x:alignment vertical="center"/>
    </x:xf>
    <x:xf numFmtId="209" fontId="1" fillId="0" borderId="0" xfId="0" applyNumberFormat="1" applyFont="1" applyFill="1" applyBorder="1" applyAlignment="1">
      <x:alignment vertical="center" wrapText="1"/>
    </x:xf>
    <x:xf numFmtId="210" fontId="1" fillId="0" borderId="0" xfId="0" applyNumberFormat="1" applyFont="1" applyFill="1" applyBorder="1" applyAlignment="1">
      <x:alignment vertical="center" wrapText="1"/>
    </x:xf>
    <x:xf numFmtId="211" fontId="1" fillId="0" borderId="0" xfId="0" applyNumberFormat="1" applyFont="1" applyFill="1" applyBorder="1" applyAlignment="1">
      <x:alignment vertical="center" wrapText="1"/>
    </x:xf>
    <x:xf numFmtId="210" fontId="1" fillId="0" borderId="0" xfId="0" applyNumberFormat="1" applyFont="1" applyFill="1" applyBorder="1" applyAlignment="1">
      <x:alignment horizontal="right" vertical="center" wrapText="1"/>
    </x:xf>
    <x:xf numFmtId="211" fontId="1" fillId="0" borderId="0" xfId="0" applyNumberFormat="1" applyFont="1" applyFill="1" applyBorder="1" applyAlignment="1">
      <x:alignment horizontal="right" vertical="center" wrapText="1"/>
    </x:xf>
  </x:cellXfs>
  <x:cellStyles count="1">
    <x:cellStyle name="Normal" xfId="0"/>
  </x:cellStyles>
  <x:dxfs count="36">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5F1EA"/>
        </x:patternFill>
      </x:fill>
    </x:dxf>
    <x:dxf>
      <x:font>
        <x:b/>
      </x:font>
      <x:fill>
        <x:patternFill patternType="solid">
          <x:bgColor rgb="FFEEF3F7"/>
        </x:patternFill>
      </x:fill>
    </x:dxf>
    <x:dxf>
      <x:font>
        <x:b/>
      </x:font>
      <x:fill>
        <x:patternFill patternType="solid">
          <x:bgColor rgb="FFEEF3F7"/>
        </x:patternFill>
      </x:fill>
    </x:dxf>
    <x:dxf>
      <x:font>
        <x:b/>
      </x:font>
      <x:fill>
        <x:patternFill patternType="solid">
          <x:bgColor rgb="FFFFF1D6"/>
        </x:patternFill>
      </x:fill>
    </x:dxf>
    <x:dxf>
      <x:font>
        <x:b/>
      </x:font>
      <x:fill>
        <x:patternFill patternType="solid">
          <x:bgColor rgb="FFFFF1D6"/>
        </x:patternFill>
      </x:fill>
    </x:dxf>
    <x:dxf>
      <x:font>
        <x:b/>
      </x:font>
      <x:fill>
        <x:patternFill patternType="solid">
          <x:bgColor rgb="FFEEF3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f835373ea34f19" /><Relationship Type="http://schemas.openxmlformats.org/officeDocument/2006/relationships/theme" Target="/xl/theme/theme1.xml" Id="Rf73b68fa16404e36" /><Relationship Type="http://schemas.openxmlformats.org/officeDocument/2006/relationships/sharedStrings" Target="/xl/sharedStrings.xml" Id="Rf3765291004b4f6a" /><Relationship Type="http://schemas.openxmlformats.org/officeDocument/2006/relationships/worksheet" Target="/xl/worksheets/sheet1.xml" Id="R495c628faea145c2" /><Relationship Type="http://schemas.openxmlformats.org/officeDocument/2006/relationships/worksheet" Target="/xl/worksheets/sheet2.xml" Id="Ra00b970287e44bc9" /><Relationship Type="http://schemas.openxmlformats.org/officeDocument/2006/relationships/worksheet" Target="/xl/worksheets/sheet3.xml" Id="Rdfb155d309024eab" /><Relationship Type="http://schemas.openxmlformats.org/officeDocument/2006/relationships/worksheet" Target="/xl/worksheets/sheet4.xml" Id="R7f41158f275e4c26" /><Relationship Type="http://schemas.openxmlformats.org/officeDocument/2006/relationships/worksheet" Target="/xl/worksheets/sheet5.xml" Id="R1011dde547ad471b" /><Relationship Type="http://schemas.openxmlformats.org/officeDocument/2006/relationships/worksheet" Target="/xl/worksheets/sheet6.xml" Id="Rd1c33cfb6362488d" /><Relationship Type="http://schemas.openxmlformats.org/officeDocument/2006/relationships/worksheet" Target="/xl/worksheets/sheet7.xml" Id="Ra96abef5feb84b9b" /><Relationship Type="http://schemas.openxmlformats.org/officeDocument/2006/relationships/worksheet" Target="/xl/worksheets/sheet8.xml" Id="Rb7c3c0749e1d4746" /><Relationship Type="http://schemas.openxmlformats.org/officeDocument/2006/relationships/worksheet" Target="/xl/worksheets/sheet9.xml" Id="Re9c396a7947e4c63" /><Relationship Type="http://schemas.openxmlformats.org/officeDocument/2006/relationships/worksheet" Target="/xl/worksheets/sheet10.xml" Id="Rd96d99d0ce8d43be" /><Relationship Type="http://schemas.openxmlformats.org/officeDocument/2006/relationships/worksheet" Target="/xl/worksheets/sheet11.xml" Id="R4e0710853b814583" /><Relationship Type="http://schemas.openxmlformats.org/officeDocument/2006/relationships/worksheet" Target="/xl/worksheets/sheet12.xml" Id="R6cd52de6fbd94f2f" /></Relationships>
</file>

<file path=xl/drawings/_rels/drawing1.xml.rels>&#65279;<?xml version="1.0" encoding="utf-8"?><Relationships xmlns="http://schemas.openxmlformats.org/package/2006/relationships"><Relationship Type="http://schemas.openxmlformats.org/officeDocument/2006/relationships/chart" Target="/xl/drawings/charts/chart1.xml" Id="R7d207e856f114235" /></Relationships>
</file>

<file path=xl/drawings/_rels/drawing2.xml.rels>&#65279;<?xml version="1.0" encoding="utf-8"?><Relationships xmlns="http://schemas.openxmlformats.org/package/2006/relationships"><Relationship Type="http://schemas.openxmlformats.org/officeDocument/2006/relationships/chart" Target="/xl/drawings/charts/chart2.xml" Id="Re702f1d2ecc24a67" /><Relationship Type="http://schemas.openxmlformats.org/officeDocument/2006/relationships/chart" Target="/xl/drawings/charts/chart3.xml" Id="R672814b3d24346a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Available cohort stages (patients)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grouping val="clustered"/>
        <c:varyColors val="0"/>
        <c:ser>
          <c:idx val="0"/>
          <c:order val="0"/>
          <c:tx>
            <c:v>Patients</c:v>
          </c:tx>
          <c:spPr>
            <a:solidFill xmlns:a="http://schemas.openxmlformats.org/drawingml/2006/main">
              <a:srgbClr val="507CA4"/>
            </a:solidFill>
          </c:spPr>
          <c:cat>
            <c:strRef>
              <c:f>'Cohort Funnel'!$B$27:$B$28</c:f>
              <c:strCache>
                <c:ptCount val="0"/>
              </c:strCache>
            </c:strRef>
          </c:cat>
          <c:val>
            <c:numRef>
              <c:f>'Cohort Funnel'!$C$27:$C$28</c:f>
              <c:numCache>
                <c:formatCode>#,##0</c:formatCode>
                <c:ptCount val="0"/>
              </c:numCache>
            </c:numRef>
          </c:val>
        </c:ser>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Treatment diversity and changes (mean)</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grouping val="clustered"/>
        <c:varyColors val="0"/>
        <c:ser>
          <c:idx val="0"/>
          <c:order val="0"/>
          <c:tx>
            <c:v>RESP 0</c:v>
          </c:tx>
          <c:spPr>
            <a:solidFill xmlns:a="http://schemas.openxmlformats.org/drawingml/2006/main">
              <a:srgbClr val="507CA4"/>
            </a:solidFill>
          </c:spPr>
          <c:cat>
            <c:strRef>
              <c:f>'Therapy Sequence'!$B$66:$B$69</c:f>
              <c:strCache>
                <c:ptCount val="0"/>
              </c:strCache>
            </c:strRef>
          </c:cat>
          <c:val>
            <c:numRef>
              <c:f>'Therapy Sequence'!$C$66:$C$69</c:f>
              <c:numCache>
                <c:formatCode>0.00</c:formatCode>
                <c:ptCount val="0"/>
              </c:numCache>
            </c:numRef>
          </c:val>
        </c:ser>
        <c:ser>
          <c:idx val="1"/>
          <c:order val="1"/>
          <c:tx>
            <c:v>RESP 1</c:v>
          </c:tx>
          <c:spPr>
            <a:solidFill xmlns:a="http://schemas.openxmlformats.org/drawingml/2006/main">
              <a:srgbClr val="31877F"/>
            </a:solidFill>
          </c:spPr>
          <c:cat>
            <c:strRef>
              <c:f>'Therapy Sequence'!$B$66:$B$69</c:f>
              <c:strCache>
                <c:ptCount val="0"/>
              </c:strCache>
            </c:strRef>
          </c:cat>
          <c:val>
            <c:numRef>
              <c:f>'Therapy Sequence'!$D$66:$D$69</c:f>
              <c:numCache>
                <c:formatCode>0.00</c:formatCode>
                <c:ptCount val="0"/>
              </c:numCache>
            </c:numRef>
          </c:val>
        </c:ser>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es val="autoZero"/>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Share with recent therapy change</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grouping val="clustered"/>
        <c:varyColors val="0"/>
        <c:ser>
          <c:idx val="0"/>
          <c:order val="0"/>
          <c:tx>
            <c:v>RESP 0</c:v>
          </c:tx>
          <c:spPr>
            <a:solidFill xmlns:a="http://schemas.openxmlformats.org/drawingml/2006/main">
              <a:srgbClr val="507CA4"/>
            </a:solidFill>
          </c:spPr>
          <c:cat>
            <c:strRef>
              <c:f>'Therapy Sequence'!$E$66:$E$67</c:f>
              <c:strCache>
                <c:ptCount val="0"/>
              </c:strCache>
            </c:strRef>
          </c:cat>
          <c:val>
            <c:numRef>
              <c:f>'Therapy Sequence'!$F$66:$F$67</c:f>
              <c:numCache>
                <c:formatCode>0.0%</c:formatCode>
                <c:ptCount val="0"/>
              </c:numCache>
            </c:numRef>
          </c:val>
        </c:ser>
        <c:ser>
          <c:idx val="1"/>
          <c:order val="1"/>
          <c:tx>
            <c:v>RESP 1</c:v>
          </c:tx>
          <c:spPr>
            <a:solidFill xmlns:a="http://schemas.openxmlformats.org/drawingml/2006/main">
              <a:srgbClr val="31877F"/>
            </a:solidFill>
          </c:spPr>
          <c:cat>
            <c:strRef>
              <c:f>'Therapy Sequence'!$E$66:$E$67</c:f>
              <c:strCache>
                <c:ptCount val="0"/>
              </c:strCache>
            </c:strRef>
          </c:cat>
          <c:val>
            <c:numRef>
              <c:f>'Therapy Sequence'!$G$66:$G$67</c:f>
              <c:numCache>
                <c:formatCode>0.0%</c:formatCode>
                <c:ptCount val="0"/>
              </c:numCache>
            </c:numRef>
          </c:val>
        </c:ser>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es val="autoZero"/>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30</xdr:row>
      <xdr:rowOff>0</xdr:rowOff>
    </xdr:from>
    <xdr:to>
      <xdr:col>7</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207e856f114235"/>
        </a:graphicData>
      </a:graphic>
    </xdr:graphicFrame>
    <xdr:clientData/>
  </xdr:twoCellAnchor>
</xdr:wsDr>
</file>

<file path=xl/drawings/drawing2.xml><?xml version="1.0" encoding="utf-8"?>
<xdr:wsDr xmlns:xdr="http://schemas.openxmlformats.org/drawingml/2006/spreadsheetDrawing">
  <xdr:twoCellAnchor>
    <xdr:from>
      <xdr:col>1</xdr:col>
      <xdr:colOff>0</xdr:colOff>
      <xdr:row>33</xdr:row>
      <xdr:rowOff>0</xdr:rowOff>
    </xdr:from>
    <xdr:to>
      <xdr:col>7</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02f1d2ecc24a67"/>
        </a:graphicData>
      </a:graphic>
    </xdr:graphicFrame>
    <xdr:clientData/>
  </xdr:twoCellAnchor>
  <xdr:twoCellAnchor>
    <xdr:from>
      <xdr:col>1</xdr:col>
      <xdr:colOff>0</xdr:colOff>
      <xdr:row>48</xdr:row>
      <xdr:rowOff>0</xdr:rowOff>
    </xdr:from>
    <xdr:to>
      <xdr:col>7</xdr:col>
      <xdr:colOff>0</xdr:colOff>
      <xdr:row>62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2814b3d24346ae"/>
        </a:graphicData>
      </a:graphic>
    </xdr:graphicFrame>
    <xdr:clientData/>
  </xdr:twoCellAnchor>
</xdr:wsDr>
</file>

<file path=xl/tables/table1.xml><?xml version="1.0" encoding="utf-8"?>
<x:table xmlns:x="http://schemas.openxmlformats.org/spreadsheetml/2006/main" id="1" name="CoreFindings" displayName="CoreFindings" ref="B8:G14" headerRowCount="1" totalsRowCount="0" totalsRowShown="0">
  <x:autoFilter ref="B8:G14"/>
  <x:tableColumns count="6">
    <x:tableColumn id="1" name="Area"/>
    <x:tableColumn id="2" name="Signal"/>
    <x:tableColumn id="3" name="Evidence level"/>
    <x:tableColumn id="4" name="Feature focus"/>
    <x:tableColumn id="5" name="Priority"/>
    <x:tableColumn id="6" name="Notes"/>
  </x:tableColumns>
  <x:tableStyleInfo name="TableStyleMedium2" showFirstColumn="0" showLastColumn="0" showRowStripes="1" showColumnStripes="0"/>
</x:table>
</file>

<file path=xl/tables/table2.xml><?xml version="1.0" encoding="utf-8"?>
<x:table xmlns:x="http://schemas.openxmlformats.org/spreadsheetml/2006/main" id="2" name="BusinessRules" displayName="BusinessRules" ref="B8:E23" headerRowCount="1" totalsRowCount="0" totalsRowShown="0">
  <x:autoFilter ref="B8:E23"/>
  <x:tableColumns count="4">
    <x:tableColumn id="1" name="Business Rule"/>
    <x:tableColumn id="2" name="Definition"/>
    <x:tableColumn id="3" name="Source / Evidence"/>
    <x:tableColumn id="4" name="Status"/>
  </x:tableColumns>
  <x:tableStyleInfo name="TableStyleMedium2" showFirstColumn="0" showLastColumn="0" showRowStripes="1" showColumnStripes="0"/>
</x:table>
</file>

<file path=xl/tables/table3.xml><?xml version="1.0" encoding="utf-8"?>
<x:table xmlns:x="http://schemas.openxmlformats.org/spreadsheetml/2006/main" id="3" name="SourceRegistry" displayName="SourceRegistry" ref="B29:E38" headerRowCount="1" totalsRowCount="0" totalsRowShown="0">
  <x:autoFilter ref="B29:E38"/>
  <x:tableColumns count="4">
    <x:tableColumn id="1" name="Source object / input"/>
    <x:tableColumn id="2" name="Role"/>
    <x:tableColumn id="3" name="Source / Evidence"/>
    <x:tableColumn id="4" name="Status"/>
  </x:tableColumns>
  <x:tableStyleInfo name="TableStyleMedium2" showFirstColumn="0" showLastColumn="0" showRowStripes="1" showColumnStripes="0"/>
</x:table>
</file>

<file path=xl/tables/table4.xml><?xml version="1.0" encoding="utf-8"?>
<x:table xmlns:x="http://schemas.openxmlformats.org/spreadsheetml/2006/main" id="4" name="CohortCounts" displayName="CohortCounts" ref="B8:E14" headerRowCount="1" totalsRowCount="0" totalsRowShown="0">
  <x:autoFilter ref="B8:E14"/>
  <x:tableColumns count="4">
    <x:tableColumn id="1" name="Stage / measure"/>
    <x:tableColumn id="2" name="Value"/>
    <x:tableColumn id="3" name="Unit"/>
    <x:tableColumn id="4" name="Scope / Notes"/>
  </x:tableColumns>
  <x:tableStyleInfo name="TableStyleMedium2" showFirstColumn="0" showLastColumn="0" showRowStripes="1" showColumnStripes="0"/>
</x:table>
</file>

<file path=xl/tables/table5.xml><?xml version="1.0" encoding="utf-8"?>
<x:table xmlns:x="http://schemas.openxmlformats.org/spreadsheetml/2006/main" id="5" name="MarketBasket" displayName="MarketBasket" ref="B19:E23" headerRowCount="1" totalsRowCount="0" totalsRowShown="0">
  <x:autoFilter ref="B19:E23"/>
  <x:tableColumns count="4">
    <x:tableColumn id="1" name="Market basket measure"/>
    <x:tableColumn id="2" name="Value"/>
    <x:tableColumn id="3" name="Unit"/>
    <x:tableColumn id="4" name="Scope / Notes"/>
  </x:tableColumns>
  <x:tableStyleInfo name="TableStyleMedium2" showFirstColumn="0" showLastColumn="0" showRowStripes="1" showColumnStripes="0"/>
</x:table>
</file>

<file path=xl/tables/table6.xml><?xml version="1.0" encoding="utf-8"?>
<x:table xmlns:x="http://schemas.openxmlformats.org/spreadsheetml/2006/main" id="6" name="FunnelChartInputs" displayName="FunnelChartInputs" ref="B26:C28" headerRowCount="1" totalsRowCount="0" totalsRowShown="0">
  <x:autoFilter ref="B26:C28"/>
  <x:tableColumns count="2">
    <x:tableColumn id="1" name="Patient-count chart input"/>
    <x:tableColumn id="2" name="Patients"/>
  </x:tableColumns>
  <x:tableStyleInfo name="TableStyleMedium2" showFirstColumn="0" showLastColumn="0" showRowStripes="1" showColumnStripes="0"/>
</x:table>
</file>

<file path=xl/tables/table7.xml><?xml version="1.0" encoding="utf-8"?>
<x:table xmlns:x="http://schemas.openxmlformats.org/spreadsheetml/2006/main" id="7" name="TherapySequenceMetrics" displayName="TherapySequenceMetrics" ref="B8:G22" headerRowCount="1" totalsRowCount="0" totalsRowShown="0">
  <x:autoFilter ref="B8:G22"/>
  <x:tableColumns count="6">
    <x:tableColumn id="1" name="Metric"/>
    <x:tableColumn id="2" name="RESP 0"/>
    <x:tableColumn id="3" name="RESP 1"/>
    <x:tableColumn id="4" name="Difference"/>
    <x:tableColumn id="5" name="Unit"/>
    <x:tableColumn id="6" name="Explanation"/>
  </x:tableColumns>
  <x:tableStyleInfo name="TableStyleMedium2" showFirstColumn="0" showLastColumn="0" showRowStripes="1" showColumnStripes="0"/>
</x:table>
</file>

<file path=xl/tables/table8.xml><?xml version="1.0" encoding="utf-8"?>
<x:table xmlns:x="http://schemas.openxmlformats.org/spreadsheetml/2006/main" id="8" name="TherapyChartCounts" displayName="TherapyChartCounts" ref="B65:D69" headerRowCount="1" totalsRowCount="0" totalsRowShown="0">
  <x:autoFilter ref="B65:D69"/>
  <x:tableColumns count="3">
    <x:tableColumn id="1" name="Chart input"/>
    <x:tableColumn id="2" name="RESP 0"/>
    <x:tableColumn id="3" name="RESP 1"/>
  </x:tableColumns>
  <x:tableStyleInfo name="TableStyleMedium2" showFirstColumn="0" showLastColumn="0" showRowStripes="1" showColumnStripes="0"/>
</x:table>
</file>

<file path=xl/tables/table9.xml><?xml version="1.0" encoding="utf-8"?>
<x:table xmlns:x="http://schemas.openxmlformats.org/spreadsheetml/2006/main" id="9" name="MedicalUtilizationMetrics" displayName="MedicalUtilizationMetrics" ref="B8:G18" headerRowCount="1" totalsRowCount="0" totalsRowShown="0">
  <x:autoFilter ref="B8:G18"/>
  <x:tableColumns count="6">
    <x:tableColumn id="1" name="Metric"/>
    <x:tableColumn id="2" name="RESP 0"/>
    <x:tableColumn id="3" name="RESP 1"/>
    <x:tableColumn id="4" name="Difference"/>
    <x:tableColumn id="5" name="Unit"/>
    <x:tableColumn id="6" name="Explanation"/>
  </x:tableColumns>
  <x:tableStyleInfo name="TableStyleMedium2" showFirstColumn="0" showLastColumn="0" showRowStripes="1" showColumnStripes="0"/>
</x:table>
</file>

<file path=xl/tables/table10.xml><?xml version="1.0" encoding="utf-8"?>
<x:table xmlns:x="http://schemas.openxmlformats.org/spreadsheetml/2006/main" id="10" name="DiagnosisProcedureSignals" displayName="DiagnosisProcedureSignals" ref="B8:L9" headerRowCount="1" totalsRowCount="0" totalsRowShown="0">
  <x:autoFilter ref="B8:L9"/>
  <x:tableColumns count="11">
    <x:tableColumn id="1" name="SIGNAL_TYPE"/>
    <x:tableColumn id="2" name="CODE"/>
    <x:tableColumn id="3" name="RESP0_PCT_30D"/>
    <x:tableColumn id="4" name="RESP1_PCT_30D"/>
    <x:tableColumn id="5" name="DIFF_30D_PP"/>
    <x:tableColumn id="6" name="RESP0_PCT_90D"/>
    <x:tableColumn id="7" name="RESP1_PCT_90D"/>
    <x:tableColumn id="8" name="DIFF_90D_PP"/>
    <x:tableColumn id="9" name="RESP0_PCT_270D"/>
    <x:tableColumn id="10" name="RESP1_PCT_270D"/>
    <x:tableColumn id="11" name="DIFF_270D_PP"/>
  </x:tableColumns>
  <x:tableStyleInfo name="TableStyleMedium2" showFirstColumn="0" showLastColumn="0" showRowStripes="1" showColumnStripes="0"/>
</x:table>
</file>

<file path=xl/tables/table11.xml><?xml version="1.0" encoding="utf-8"?>
<x:table xmlns:x="http://schemas.openxmlformats.org/spreadsheetml/2006/main" id="11" name="ProviderSpecialistMetrics" displayName="ProviderSpecialistMetrics" ref="B8:G14" headerRowCount="1" totalsRowCount="0" totalsRowShown="0">
  <x:autoFilter ref="B8:G14"/>
  <x:tableColumns count="6">
    <x:tableColumn id="1" name="Metric"/>
    <x:tableColumn id="2" name="RESP 0"/>
    <x:tableColumn id="3" name="RESP 1"/>
    <x:tableColumn id="4" name="Difference"/>
    <x:tableColumn id="5" name="Unit"/>
    <x:tableColumn id="6" name="Explanation"/>
  </x:tableColumns>
  <x:tableStyleInfo name="TableStyleMedium2" showFirstColumn="0" showLastColumn="0" showRowStripes="1" showColumnStripes="0"/>
</x:table>
</file>

<file path=xl/tables/table12.xml><?xml version="1.0" encoding="utf-8"?>
<x:table xmlns:x="http://schemas.openxmlformats.org/spreadsheetml/2006/main" id="12" name="SpecialtySignals" displayName="SpecialtySignals" ref="B28:G29" headerRowCount="1" totalsRowCount="0" totalsRowShown="0">
  <x:autoFilter ref="B28:G29"/>
  <x:tableColumns count="6">
    <x:tableColumn id="1" name="Specialty"/>
    <x:tableColumn id="2" name="RESP0_PCT_90D"/>
    <x:tableColumn id="3" name="RESP1_PCT_90D"/>
    <x:tableColumn id="4" name="DIFF_90D_PP"/>
    <x:tableColumn id="5" name="Status"/>
    <x:tableColumn id="6" name="Notes"/>
  </x:tableColumns>
  <x:tableStyleInfo name="TableStyleMedium2" showFirstColumn="0" showLastColumn="0" showRowStripes="1" showColumnStripes="0"/>
</x:table>
</file>

<file path=xl/tables/table13.xml><?xml version="1.0" encoding="utf-8"?>
<x:table xmlns:x="http://schemas.openxmlformats.org/spreadsheetml/2006/main" id="13" name="PlanAccessMetrics" displayName="PlanAccessMetrics" ref="B8:G19" headerRowCount="1" totalsRowCount="0" totalsRowShown="0">
  <x:autoFilter ref="B8:G19"/>
  <x:tableColumns count="6">
    <x:tableColumn id="1" name="Metric"/>
    <x:tableColumn id="2" name="RESP 0"/>
    <x:tableColumn id="3" name="RESP 1"/>
    <x:tableColumn id="4" name="Difference"/>
    <x:tableColumn id="5" name="Unit"/>
    <x:tableColumn id="6" name="Explanation"/>
  </x:tableColumns>
  <x:tableStyleInfo name="TableStyleMedium2" showFirstColumn="0" showLastColumn="0" showRowStripes="1" showColumnStripes="0"/>
</x:table>
</file>

<file path=xl/tables/table14.xml><?xml version="1.0" encoding="utf-8"?>
<x:table xmlns:x="http://schemas.openxmlformats.org/spreadsheetml/2006/main" id="14" name="ExistingFeatures" displayName="ExistingFeatures" ref="B8:F98" headerRowCount="1" totalsRowCount="0" totalsRowShown="0">
  <x:autoFilter ref="B8:F98"/>
  <x:tableColumns count="5">
    <x:tableColumn id="1" name="Group"/>
    <x:tableColumn id="2" name="Feature / family"/>
    <x:tableColumn id="3" name="Status"/>
    <x:tableColumn id="4" name="Source scope"/>
    <x:tableColumn id="5" name="Definition / Notes"/>
  </x:tableColumns>
  <x:tableStyleInfo name="TableStyleMedium2" showFirstColumn="0" showLastColumn="0" showRowStripes="1" showColumnStripes="0"/>
</x:table>
</file>

<file path=xl/tables/table15.xml><?xml version="1.0" encoding="utf-8"?>
<x:table xmlns:x="http://schemas.openxmlformats.org/spreadsheetml/2006/main" id="15" name="FeatureGaps" displayName="FeatureGaps" ref="B8:F25" headerRowCount="1" totalsRowCount="0" totalsRowShown="0">
  <x:autoFilter ref="B8:F25"/>
  <x:tableColumns count="5">
    <x:tableColumn id="1" name="Trend-derived candidate"/>
    <x:tableColumn id="2" name="Existing feature set / related field"/>
    <x:tableColumn id="3" name="Classification"/>
    <x:tableColumn id="4" name="Priority"/>
    <x:tableColumn id="5" name="Notes"/>
  </x:tableColumns>
  <x:tableStyleInfo name="TableStyleMedium2" showFirstColumn="0" showLastColumn="0" showRowStripes="1" showColumnStripes="0"/>
</x:table>
</file>

<file path=xl/tables/table16.xml><?xml version="1.0" encoding="utf-8"?>
<x:table xmlns:x="http://schemas.openxmlformats.org/spreadsheetml/2006/main" id="16" name="ModelingPath" displayName="ModelingPath" ref="B8:E19" headerRowCount="1" totalsRowCount="0" totalsRowShown="0">
  <x:autoFilter ref="B8:E19"/>
  <x:tableColumns count="4">
    <x:tableColumn id="1" name="Step"/>
    <x:tableColumn id="2" name="Action"/>
    <x:tableColumn id="3" name="Method / scope"/>
    <x:tableColumn id="4" name="Output"/>
  </x:tableColumns>
  <x:tableStyleInfo name="TableStyleMedium2" showFirstColumn="0" showLastColumn="0" showRowStripes="1" showColumnStripes="0"/>
</x:table>
</file>

<file path=xl/tables/table17.xml><?xml version="1.0" encoding="utf-8"?>
<x:table xmlns:x="http://schemas.openxmlformats.org/spreadsheetml/2006/main" id="17" name="NextSteps" displayName="NextSteps" ref="B8:E20" headerRowCount="1" totalsRowCount="0" totalsRowShown="0">
  <x:autoFilter ref="B8:E20"/>
  <x:tableColumns count="4">
    <x:tableColumn id="1" name="Priority"/>
    <x:tableColumn id="2" name="Action"/>
    <x:tableColumn id="3" name="Status"/>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9df7682a8048bd" /></Relationships>
</file>

<file path=xl/worksheets/_rels/sheet2.xml.rels>&#65279;<?xml version="1.0" encoding="utf-8"?><Relationships xmlns="http://schemas.openxmlformats.org/package/2006/relationships"><Relationship Type="http://schemas.openxmlformats.org/officeDocument/2006/relationships/table" Target="/xl/tables/table2.xml" Id="Re600df9fc4f34655" /><Relationship Type="http://schemas.openxmlformats.org/officeDocument/2006/relationships/table" Target="/xl/tables/table3.xml" Id="Re18f5829c0e046f0" /></Relationships>
</file>

<file path=xl/worksheets/_rels/sheet3.xml.rels>&#65279;<?xml version="1.0" encoding="utf-8"?><Relationships xmlns="http://schemas.openxmlformats.org/package/2006/relationships"><Relationship Type="http://schemas.openxmlformats.org/officeDocument/2006/relationships/drawing" Target="/xl/drawings/drawing1.xml" Id="R19d290280b254589" /><Relationship Type="http://schemas.openxmlformats.org/officeDocument/2006/relationships/table" Target="/xl/tables/table4.xml" Id="Re78f1cea5d7045bc" /><Relationship Type="http://schemas.openxmlformats.org/officeDocument/2006/relationships/table" Target="/xl/tables/table5.xml" Id="Re0dd0151bfe641e9" /><Relationship Type="http://schemas.openxmlformats.org/officeDocument/2006/relationships/table" Target="/xl/tables/table6.xml" Id="R282f6ee975c046ec" /></Relationships>
</file>

<file path=xl/worksheets/_rels/sheet4.xml.rels>&#65279;<?xml version="1.0" encoding="utf-8"?><Relationships xmlns="http://schemas.openxmlformats.org/package/2006/relationships"><Relationship Type="http://schemas.openxmlformats.org/officeDocument/2006/relationships/drawing" Target="/xl/drawings/drawing2.xml" Id="Rcdc0f5194ac04f0c" /><Relationship Type="http://schemas.openxmlformats.org/officeDocument/2006/relationships/table" Target="/xl/tables/table7.xml" Id="R532762cd99fa4fd7" /><Relationship Type="http://schemas.openxmlformats.org/officeDocument/2006/relationships/table" Target="/xl/tables/table8.xml" Id="Rd2ed412786034cce" /></Relationships>
</file>

<file path=xl/worksheets/_rels/sheet5.xml.rels>&#65279;<?xml version="1.0" encoding="utf-8"?><Relationships xmlns="http://schemas.openxmlformats.org/package/2006/relationships"><Relationship Type="http://schemas.openxmlformats.org/officeDocument/2006/relationships/table" Target="/xl/tables/table9.xml" Id="R19c39d76f12944bc" /></Relationships>
</file>

<file path=xl/worksheets/_rels/sheet6.xml.rels>&#65279;<?xml version="1.0" encoding="utf-8"?><Relationships xmlns="http://schemas.openxmlformats.org/package/2006/relationships"><Relationship Type="http://schemas.openxmlformats.org/officeDocument/2006/relationships/table" Target="/xl/tables/table10.xml" Id="R62cdd142201e407a" /></Relationships>
</file>

<file path=xl/worksheets/_rels/sheet7.xml.rels>&#65279;<?xml version="1.0" encoding="utf-8"?><Relationships xmlns="http://schemas.openxmlformats.org/package/2006/relationships"><Relationship Type="http://schemas.openxmlformats.org/officeDocument/2006/relationships/table" Target="/xl/tables/table11.xml" Id="R5e40506e2c364a5a" /><Relationship Type="http://schemas.openxmlformats.org/officeDocument/2006/relationships/table" Target="/xl/tables/table12.xml" Id="R48f640550321436b" /></Relationships>
</file>

<file path=xl/worksheets/_rels/sheet8.xml.rels>&#65279;<?xml version="1.0" encoding="utf-8"?><Relationships xmlns="http://schemas.openxmlformats.org/package/2006/relationships"><Relationship Type="http://schemas.openxmlformats.org/officeDocument/2006/relationships/table" Target="/xl/tables/table13.xml" Id="R4434b52e0265461d" /></Relationships>
</file>

<file path=xl/worksheets/_rels/sheet9.xml.rels>&#65279;<?xml version="1.0" encoding="utf-8"?><Relationships xmlns="http://schemas.openxmlformats.org/package/2006/relationships"><Relationship Type="http://schemas.openxmlformats.org/officeDocument/2006/relationships/table" Target="/xl/tables/table14.xml" Id="Ra60a653079d6416a" /></Relationships>
</file>

<file path=xl/worksheets/_rels/sheet10.xml.rels>&#65279;<?xml version="1.0" encoding="utf-8"?><Relationships xmlns="http://schemas.openxmlformats.org/package/2006/relationships"><Relationship Type="http://schemas.openxmlformats.org/officeDocument/2006/relationships/table" Target="/xl/tables/table15.xml" Id="Rcb2aae9f32d24e92" /></Relationships>
</file>

<file path=xl/worksheets/_rels/sheet11.xml.rels>&#65279;<?xml version="1.0" encoding="utf-8"?><Relationships xmlns="http://schemas.openxmlformats.org/package/2006/relationships"><Relationship Type="http://schemas.openxmlformats.org/officeDocument/2006/relationships/table" Target="/xl/tables/table16.xml" Id="R0b56609624ec437b" /></Relationships>
</file>

<file path=xl/worksheets/_rels/sheet12.xml.rels>&#65279;<?xml version="1.0" encoding="utf-8"?><Relationships xmlns="http://schemas.openxmlformats.org/package/2006/relationships"><Relationship Type="http://schemas.openxmlformats.org/officeDocument/2006/relationships/table" Target="/xl/tables/table17.xml" Id="R5d44584f9eec43e4" /></Relationships>
</file>

<file path=xl/worksheets/sheet1.xml><?xml version="1.0" encoding="utf-8"?>
<x:worksheet xmlns:x="http://schemas.openxmlformats.org/spreadsheetml/2006/main">
  <x:sheetPr>
    <x:tabColor rgb="FF203B5B"/>
  </x:sheetPr>
  <x:sheetViews>
    <x:sheetView showGridLines="0" workbookViewId="0">
      <x:pane ySplit="8" topLeftCell="A9" activePane="bottomLeft" state="frozen"/>
    </x:sheetView>
  </x:sheetViews>
  <x:sheetFormatPr defaultRowHeight="15"/>
  <x:cols>
    <x:col min="1" max="1" width="3" hidden="0" customWidth="1"/>
    <x:col min="2" max="2" width="33.75" hidden="0" customWidth="1"/>
    <x:col min="3" max="3" width="21.8799991607666" hidden="0" customWidth="1"/>
    <x:col min="4" max="4" width="17.5" hidden="0" customWidth="1"/>
    <x:col min="5" max="5" width="19.3799991607666" hidden="0" customWidth="1"/>
    <x:col min="6" max="6" width="18.1299991607666" hidden="0" customWidth="1"/>
    <x:col min="7" max="7" width="25" hidden="0" customWidth="1"/>
    <x:col min="8" max="8" width="3" hidden="0" customWidth="1"/>
  </x:cols>
  <x:sheetData>
    <x:row r="1" ht="23" customHeight="1">
      <x:c r="A1" s="2"/>
      <x:c r="B1" s="2"/>
      <x:c r="C1" s="2"/>
      <x:c r="D1" s="2"/>
      <x:c r="E1" s="2"/>
      <x:c r="F1" s="2"/>
      <x:c r="G1" s="2"/>
      <x:c r="H1" s="2"/>
    </x:row>
    <x:row r="2" ht="32" customHeight="1">
      <x:c r="A2" s="2"/>
      <x:c r="B2" s="4" t="str">
        <x:v>Overview</x:v>
      </x:c>
      <x:c r="C2" s="4" t="str">
        <x:v>Overview</x:v>
      </x:c>
      <x:c r="D2" s="4" t="str">
        <x:v>Overview</x:v>
      </x:c>
      <x:c r="E2" s="4" t="str">
        <x:v>Overview</x:v>
      </x:c>
      <x:c r="F2" s="4" t="str">
        <x:v>Overview</x:v>
      </x:c>
      <x:c r="G2" s="4" t="str">
        <x:v>Overview</x:v>
      </x:c>
      <x:c r="H2" s="2"/>
    </x:row>
    <x:row r="3" ht="23" customHeight="1">
      <x:c r="A3" s="2"/>
      <x:c r="B3" s="5"/>
      <x:c r="C3" s="5"/>
      <x:c r="D3" s="5"/>
      <x:c r="E3" s="5"/>
      <x:c r="F3" s="5"/>
      <x:c r="G3" s="5"/>
      <x:c r="H3" s="2"/>
    </x:row>
    <x:row r="4" ht="23" customHeight="1">
      <x:c r="A4" s="2"/>
      <x:c r="B4" s="8" t="str">
        <x:v>Objective</x:v>
      </x:c>
      <x:c r="C4" s="8" t="str">
        <x:v>Objective</x:v>
      </x:c>
      <x:c r="D4" s="8" t="str">
        <x:v>Objective</x:v>
      </x:c>
      <x:c r="E4" s="8" t="str">
        <x:v>Objective</x:v>
      </x:c>
      <x:c r="F4" s="8" t="str">
        <x:v>Objective</x:v>
      </x:c>
      <x:c r="G4" s="8" t="str">
        <x:v>Objective</x:v>
      </x:c>
      <x:c r="H4" s="2"/>
    </x:row>
    <x:row r="5" ht="40" customHeight="1">
      <x:c r="A5" s="2"/>
      <x:c r="B5" s="10" t="str">
        <x:v>Improve prediction of first advanced-therapy initiation within 90 days among eligible NT1 patients currently using generic therapy.</x:v>
      </x:c>
      <x:c r="C5" s="10" t="str">
        <x:v>Improve prediction of first advanced-therapy initiation within 90 days among eligible NT1 patients currently using generic therapy.</x:v>
      </x:c>
      <x:c r="D5" s="10" t="str">
        <x:v>Improve prediction of first advanced-therapy initiation within 90 days among eligible NT1 patients currently using generic therapy.</x:v>
      </x:c>
      <x:c r="E5" s="10" t="str">
        <x:v>Improve prediction of first advanced-therapy initiation within 90 days among eligible NT1 patients currently using generic therapy.</x:v>
      </x:c>
      <x:c r="F5" s="10" t="str">
        <x:v>Improve prediction of first advanced-therapy initiation within 90 days among eligible NT1 patients currently using generic therapy.</x:v>
      </x:c>
      <x:c r="G5" s="10" t="str">
        <x:v>Improve prediction of first advanced-therapy initiation within 90 days among eligible NT1 patients currently using generic therapy.</x:v>
      </x:c>
      <x:c r="H5" s="2"/>
    </x:row>
    <x:row r="6" ht="23" customHeight="1">
      <x:c r="A6" s="2"/>
      <x:c r="B6" s="2"/>
      <x:c r="C6" s="2"/>
      <x:c r="D6" s="2"/>
      <x:c r="E6" s="2"/>
      <x:c r="F6" s="2"/>
      <x:c r="G6" s="2"/>
      <x:c r="H6" s="2"/>
    </x:row>
    <x:row r="7" ht="36" customHeight="1">
      <x:c r="A7" s="2"/>
      <x:c r="B7" s="12" t="str">
        <x:v>The outcome is first advanced-therapy initiation, not TAK-861 prescribing. Prior advanced therapy at the feature cutoff excludes the snapshot.</x:v>
      </x:c>
      <x:c r="C7" s="12" t="str">
        <x:v>The outcome is first advanced-therapy initiation, not TAK-861 prescribing. Prior advanced therapy at the feature cutoff excludes the snapshot.</x:v>
      </x:c>
      <x:c r="D7" s="12" t="str">
        <x:v>The outcome is first advanced-therapy initiation, not TAK-861 prescribing. Prior advanced therapy at the feature cutoff excludes the snapshot.</x:v>
      </x:c>
      <x:c r="E7" s="12" t="str">
        <x:v>The outcome is first advanced-therapy initiation, not TAK-861 prescribing. Prior advanced therapy at the feature cutoff excludes the snapshot.</x:v>
      </x:c>
      <x:c r="F7" s="12" t="str">
        <x:v>The outcome is first advanced-therapy initiation, not TAK-861 prescribing. Prior advanced therapy at the feature cutoff excludes the snapshot.</x:v>
      </x:c>
      <x:c r="G7" s="12" t="str">
        <x:v>The outcome is first advanced-therapy initiation, not TAK-861 prescribing. Prior advanced therapy at the feature cutoff excludes the snapshot.</x:v>
      </x:c>
      <x:c r="H7" s="2"/>
    </x:row>
    <x:row r="8" ht="38" customHeight="1">
      <x:c r="A8" s="2"/>
      <x:c r="B8" s="16" t="str">
        <x:v>Area</x:v>
      </x:c>
      <x:c r="C8" s="16" t="str">
        <x:v>Signal</x:v>
      </x:c>
      <x:c r="D8" s="16" t="str">
        <x:v>Evidence level</x:v>
      </x:c>
      <x:c r="E8" s="16" t="str">
        <x:v>Feature focus</x:v>
      </x:c>
      <x:c r="F8" s="16" t="str">
        <x:v>Priority</x:v>
      </x:c>
      <x:c r="G8" s="16" t="str">
        <x:v>Notes</x:v>
      </x:c>
      <x:c r="H8" s="2"/>
    </x:row>
    <x:row r="9" ht="38" customHeight="1">
      <x:c r="A9" s="2"/>
      <x:c r="B9" s="13" t="str">
        <x:v>Therapy Sequence</x:v>
      </x:c>
      <x:c r="C9" s="13" t="str">
        <x:v>STRONG</x:v>
      </x:c>
      <x:c r="D9" s="13" t="str">
        <x:v>Descriptive trend</x:v>
      </x:c>
      <x:c r="E9" s="13" t="str">
        <x:v>Treatment dynamics</x:v>
      </x:c>
      <x:c r="F9" s="13" t="str">
        <x:v>High</x:v>
      </x:c>
      <x:c r="G9" s="13" t="str">
        <x:v>Supplied numeric comparisons</x:v>
      </x:c>
      <x:c r="H9" s="2"/>
    </x:row>
    <x:row r="10" ht="38" customHeight="1">
      <x:c r="A10" s="2"/>
      <x:c r="B10" s="13" t="str">
        <x:v>Medical Utilization</x:v>
      </x:c>
      <x:c r="C10" s="13" t="str">
        <x:v>WEAK</x:v>
      </x:c>
      <x:c r="D10" s="13" t="str">
        <x:v>Descriptive trend</x:v>
      </x:c>
      <x:c r="E10" s="13" t="str">
        <x:v>Clinical activity type</x:v>
      </x:c>
      <x:c r="F10" s="13" t="str">
        <x:v>Lower</x:v>
      </x:c>
      <x:c r="G10" s="13" t="str">
        <x:v>Raw volume shows limited separation</x:v>
      </x:c>
      <x:c r="H10" s="2"/>
    </x:row>
    <x:row r="11" ht="38" customHeight="1">
      <x:c r="A11" s="2"/>
      <x:c r="B11" s="13" t="str">
        <x:v>Diagnosis / Procedure</x:v>
      </x:c>
      <x:c r="C11" s="13" t="str">
        <x:v>PROMISING</x:v>
      </x:c>
      <x:c r="D11" s="13" t="str">
        <x:v>Reported trend</x:v>
      </x:c>
      <x:c r="E11" s="13" t="str">
        <x:v>Specific DX / PX</x:v>
      </x:c>
      <x:c r="F11" s="13" t="str">
        <x:v>High</x:v>
      </x:c>
      <x:c r="G11" s="13" t="str">
        <x:v>Raw-code export missing</x:v>
      </x:c>
      <x:c r="H11" s="2"/>
    </x:row>
    <x:row r="12" ht="38" customHeight="1">
      <x:c r="A12" s="2"/>
      <x:c r="B12" s="13" t="str">
        <x:v>Provider Count</x:v>
      </x:c>
      <x:c r="C12" s="13" t="str">
        <x:v>WEAK</x:v>
      </x:c>
      <x:c r="D12" s="13" t="str">
        <x:v>Descriptive trend</x:v>
      </x:c>
      <x:c r="E12" s="13" t="str">
        <x:v>Provider count</x:v>
      </x:c>
      <x:c r="F12" s="13" t="str">
        <x:v>Lower</x:v>
      </x:c>
      <x:c r="G12" s="13" t="str">
        <x:v>Counts broadly similar</x:v>
      </x:c>
      <x:c r="H12" s="2"/>
    </x:row>
    <x:row r="13" ht="38" customHeight="1">
      <x:c r="A13" s="2"/>
      <x:c r="B13" s="13" t="str">
        <x:v>Specialty Exposure</x:v>
      </x:c>
      <x:c r="C13" s="13" t="str">
        <x:v>PROMISING</x:v>
      </x:c>
      <x:c r="D13" s="13" t="str">
        <x:v>Reported trend</x:v>
      </x:c>
      <x:c r="E13" s="13" t="str">
        <x:v>Specific specialties</x:v>
      </x:c>
      <x:c r="F13" s="13" t="str">
        <x:v>High</x:v>
      </x:c>
      <x:c r="G13" s="13" t="str">
        <x:v>Specialty export missing</x:v>
      </x:c>
      <x:c r="H13" s="2"/>
    </x:row>
    <x:row r="14" ht="38" customHeight="1">
      <x:c r="A14" s="2"/>
      <x:c r="B14" s="13" t="str">
        <x:v>Plan / Access Dynamics</x:v>
      </x:c>
      <x:c r="C14" s="13" t="str">
        <x:v>WEAK</x:v>
      </x:c>
      <x:c r="D14" s="13" t="str">
        <x:v>Descriptive trend</x:v>
      </x:c>
      <x:c r="E14" s="13" t="str">
        <x:v>Plan movement</x:v>
      </x:c>
      <x:c r="F14" s="13" t="str">
        <x:v>Lower</x:v>
      </x:c>
      <x:c r="G14" s="13" t="str">
        <x:v>Minimal separation</x:v>
      </x:c>
      <x:c r="H14" s="2"/>
    </x:row>
    <x:row r="15" ht="23" customHeight="1">
      <x:c r="A15" s="2"/>
      <x:c r="B15" s="2"/>
      <x:c r="C15" s="2"/>
      <x:c r="D15" s="2"/>
      <x:c r="E15" s="2"/>
      <x:c r="F15" s="2"/>
      <x:c r="G15" s="2"/>
      <x:c r="H15" s="2"/>
    </x:row>
    <x:row r="16" ht="23" customHeight="1">
      <x:c r="A16" s="2"/>
      <x:c r="B16" s="8" t="str">
        <x:v>Main conclusion</x:v>
      </x:c>
      <x:c r="C16" s="8" t="str">
        <x:v>Main conclusion</x:v>
      </x:c>
      <x:c r="D16" s="8" t="str">
        <x:v>Main conclusion</x:v>
      </x:c>
      <x:c r="E16" s="8" t="str">
        <x:v>Main conclusion</x:v>
      </x:c>
      <x:c r="F16" s="8" t="str">
        <x:v>Main conclusion</x:v>
      </x:c>
      <x:c r="G16" s="8" t="str">
        <x:v>Main conclusion</x:v>
      </x:c>
      <x:c r="H16" s="2"/>
    </x:row>
    <x:row r="17" ht="44" customHeight="1">
      <x:c r="A17" s="2"/>
      <x:c r="B17" s="10" t="str">
        <x:v>Treatment dynamics and clinical context appear more informative than raw utilization volume or plan movement. Code-level and specialty-level findings still require review of the missing exports.</x:v>
      </x:c>
      <x:c r="C17" s="10" t="str">
        <x:v>Treatment dynamics and clinical context appear more informative than raw utilization volume or plan movement. Code-level and specialty-level findings still require review of the missing exports.</x:v>
      </x:c>
      <x:c r="D17" s="10" t="str">
        <x:v>Treatment dynamics and clinical context appear more informative than raw utilization volume or plan movement. Code-level and specialty-level findings still require review of the missing exports.</x:v>
      </x:c>
      <x:c r="E17" s="10" t="str">
        <x:v>Treatment dynamics and clinical context appear more informative than raw utilization volume or plan movement. Code-level and specialty-level findings still require review of the missing exports.</x:v>
      </x:c>
      <x:c r="F17" s="10" t="str">
        <x:v>Treatment dynamics and clinical context appear more informative than raw utilization volume or plan movement. Code-level and specialty-level findings still require review of the missing exports.</x:v>
      </x:c>
      <x:c r="G17" s="10" t="str">
        <x:v>Treatment dynamics and clinical context appear more informative than raw utilization volume or plan movement. Code-level and specialty-level findings still require review of the missing exports.</x:v>
      </x:c>
      <x:c r="H17" s="2"/>
    </x:row>
    <x:row r="18" ht="23" customHeight="1">
      <x:c r="A18" s="2"/>
      <x:c r="B18" s="2"/>
      <x:c r="C18" s="2"/>
      <x:c r="D18" s="2"/>
      <x:c r="E18" s="2"/>
      <x:c r="F18" s="2"/>
      <x:c r="G18" s="2"/>
      <x:c r="H18" s="2"/>
    </x:row>
    <x:row r="19" ht="23" customHeight="1">
      <x:c r="A19" s="2"/>
      <x:c r="B19" s="8" t="str">
        <x:v>Strongest feature opportunities</x:v>
      </x:c>
      <x:c r="C19" s="8" t="str">
        <x:v>Strongest feature opportunities</x:v>
      </x:c>
      <x:c r="D19" s="8" t="str">
        <x:v>Strongest feature opportunities</x:v>
      </x:c>
      <x:c r="E19" s="8" t="str">
        <x:v>Strongest feature opportunities</x:v>
      </x:c>
      <x:c r="F19" s="8" t="str">
        <x:v>Strongest feature opportunities</x:v>
      </x:c>
      <x:c r="G19" s="8" t="str">
        <x:v>Strongest feature opportunities</x:v>
      </x:c>
      <x:c r="H19" s="2"/>
    </x:row>
    <x:row r="20" ht="44" customHeight="1">
      <x:c r="A20" s="2"/>
      <x:c r="B20" s="10" t="str">
        <x:v>Treatment diversity; therapy-change frequency; recent therapy-change flags; treatment recency; specific diagnosis/procedure signals; specific specialty exposure signals.</x:v>
      </x:c>
      <x:c r="C20" s="10" t="str">
        <x:v>Treatment diversity; therapy-change frequency; recent therapy-change flags; treatment recency; specific diagnosis/procedure signals; specific specialty exposure signals.</x:v>
      </x:c>
      <x:c r="D20" s="10" t="str">
        <x:v>Treatment diversity; therapy-change frequency; recent therapy-change flags; treatment recency; specific diagnosis/procedure signals; specific specialty exposure signals.</x:v>
      </x:c>
      <x:c r="E20" s="10" t="str">
        <x:v>Treatment diversity; therapy-change frequency; recent therapy-change flags; treatment recency; specific diagnosis/procedure signals; specific specialty exposure signals.</x:v>
      </x:c>
      <x:c r="F20" s="10" t="str">
        <x:v>Treatment diversity; therapy-change frequency; recent therapy-change flags; treatment recency; specific diagnosis/procedure signals; specific specialty exposure signals.</x:v>
      </x:c>
      <x:c r="G20" s="10" t="str">
        <x:v>Treatment diversity; therapy-change frequency; recent therapy-change flags; treatment recency; specific diagnosis/procedure signals; specific specialty exposure signals.</x:v>
      </x:c>
      <x:c r="H20" s="2"/>
    </x:row>
    <x:row r="21" ht="23" customHeight="1">
      <x:c r="A21" s="2"/>
      <x:c r="B21" s="2"/>
      <x:c r="C21" s="2"/>
      <x:c r="D21" s="2"/>
      <x:c r="E21" s="2"/>
      <x:c r="F21" s="2"/>
      <x:c r="G21" s="2"/>
      <x:c r="H21" s="2"/>
    </x:row>
    <x:row r="22" ht="23" customHeight="1">
      <x:c r="A22" s="2"/>
      <x:c r="B22" s="8" t="str">
        <x:v>Lower-priority areas</x:v>
      </x:c>
      <x:c r="C22" s="8" t="str">
        <x:v>Lower-priority areas</x:v>
      </x:c>
      <x:c r="D22" s="8" t="str">
        <x:v>Lower-priority areas</x:v>
      </x:c>
      <x:c r="E22" s="8" t="str">
        <x:v>Lower-priority areas</x:v>
      </x:c>
      <x:c r="F22" s="8" t="str">
        <x:v>Lower-priority areas</x:v>
      </x:c>
      <x:c r="G22" s="8" t="str">
        <x:v>Lower-priority areas</x:v>
      </x:c>
      <x:c r="H22" s="2"/>
    </x:row>
    <x:row r="23" ht="30" customHeight="1">
      <x:c r="A23" s="2"/>
      <x:c r="B23" s="10" t="str">
        <x:v>Raw medical-event volume; raw provider count; plan-change frequency.</x:v>
      </x:c>
      <x:c r="C23" s="10" t="str">
        <x:v>Raw medical-event volume; raw provider count; plan-change frequency.</x:v>
      </x:c>
      <x:c r="D23" s="10" t="str">
        <x:v>Raw medical-event volume; raw provider count; plan-change frequency.</x:v>
      </x:c>
      <x:c r="E23" s="10" t="str">
        <x:v>Raw medical-event volume; raw provider count; plan-change frequency.</x:v>
      </x:c>
      <x:c r="F23" s="10" t="str">
        <x:v>Raw medical-event volume; raw provider count; plan-change frequency.</x:v>
      </x:c>
      <x:c r="G23" s="10" t="str">
        <x:v>Raw medical-event volume; raw provider count; plan-change frequency.</x:v>
      </x:c>
      <x:c r="H23" s="2"/>
    </x:row>
    <x:row r="24" ht="23" customHeight="1">
      <x:c r="A24" s="2"/>
      <x:c r="B24" s="2"/>
      <x:c r="C24" s="2"/>
      <x:c r="D24" s="2"/>
      <x:c r="E24" s="2"/>
      <x:c r="F24" s="2"/>
      <x:c r="G24" s="2"/>
      <x:c r="H24" s="2"/>
    </x:row>
    <x:row r="25" ht="23" customHeight="1">
      <x:c r="A25" s="2"/>
      <x:c r="B25" s="8" t="str">
        <x:v>Recommended modeling path</x:v>
      </x:c>
      <x:c r="C25" s="8" t="str">
        <x:v>Recommended modeling path</x:v>
      </x:c>
      <x:c r="D25" s="8" t="str">
        <x:v>Recommended modeling path</x:v>
      </x:c>
      <x:c r="E25" s="8" t="str">
        <x:v>Recommended modeling path</x:v>
      </x:c>
      <x:c r="F25" s="8" t="str">
        <x:v>Recommended modeling path</x:v>
      </x:c>
      <x:c r="G25" s="8" t="str">
        <x:v>Recommended modeling path</x:v>
      </x:c>
      <x:c r="H25" s="2"/>
    </x:row>
    <x:row r="26" ht="38" customHeight="1">
      <x:c r="A26" s="2"/>
      <x:c r="B26" s="10" t="str">
        <x:v>Baseline feature augmentation → Ablation testing → Temporal validation → SHAP / feature attribution → Sequence-model benchmark</x:v>
      </x:c>
      <x:c r="C26" s="10" t="str">
        <x:v>Baseline feature augmentation → Ablation testing → Temporal validation → SHAP / feature attribution → Sequence-model benchmark</x:v>
      </x:c>
      <x:c r="D26" s="10" t="str">
        <x:v>Baseline feature augmentation → Ablation testing → Temporal validation → SHAP / feature attribution → Sequence-model benchmark</x:v>
      </x:c>
      <x:c r="E26" s="10" t="str">
        <x:v>Baseline feature augmentation → Ablation testing → Temporal validation → SHAP / feature attribution → Sequence-model benchmark</x:v>
      </x:c>
      <x:c r="F26" s="10" t="str">
        <x:v>Baseline feature augmentation → Ablation testing → Temporal validation → SHAP / feature attribution → Sequence-model benchmark</x:v>
      </x:c>
      <x:c r="G26" s="10" t="str">
        <x:v>Baseline feature augmentation → Ablation testing → Temporal validation → SHAP / feature attribution → Sequence-model benchmark</x:v>
      </x:c>
      <x:c r="H26" s="2"/>
    </x:row>
    <x:row r="27" ht="23" customHeight="1">
      <x:c r="A27" s="2"/>
      <x:c r="B27" s="2"/>
      <x:c r="C27" s="2"/>
      <x:c r="D27" s="2"/>
      <x:c r="E27" s="2"/>
      <x:c r="F27" s="2"/>
      <x:c r="G27" s="2"/>
      <x:c r="H27" s="2"/>
    </x:row>
    <x:row r="28" ht="23" customHeight="1">
      <x:c r="A28" s="2"/>
      <x:c r="B28" s="19" t="str">
        <x:v>Validation caveat</x:v>
      </x:c>
      <x:c r="C28" s="19" t="str">
        <x:v>Validation caveat</x:v>
      </x:c>
      <x:c r="D28" s="19" t="str">
        <x:v>Validation caveat</x:v>
      </x:c>
      <x:c r="E28" s="19" t="str">
        <x:v>Validation caveat</x:v>
      </x:c>
      <x:c r="F28" s="19" t="str">
        <x:v>Validation caveat</x:v>
      </x:c>
      <x:c r="G28" s="19" t="str">
        <x:v>Validation caveat</x:v>
      </x:c>
      <x:c r="H28" s="2"/>
    </x:row>
    <x:row r="29" ht="44" customHeight="1">
      <x:c r="A29" s="2"/>
      <x:c r="B29" s="21" t="str">
        <x:v>Observed trend separation indicates candidate predictive value but does not prove incremental model lift. Final recommendations require out-of-sample validation.</x:v>
      </x:c>
      <x:c r="C29" s="21" t="str">
        <x:v>Observed trend separation indicates candidate predictive value but does not prove incremental model lift. Final recommendations require out-of-sample validation.</x:v>
      </x:c>
      <x:c r="D29" s="21" t="str">
        <x:v>Observed trend separation indicates candidate predictive value but does not prove incremental model lift. Final recommendations require out-of-sample validation.</x:v>
      </x:c>
      <x:c r="E29" s="21" t="str">
        <x:v>Observed trend separation indicates candidate predictive value but does not prove incremental model lift. Final recommendations require out-of-sample validation.</x:v>
      </x:c>
      <x:c r="F29" s="21" t="str">
        <x:v>Observed trend separation indicates candidate predictive value but does not prove incremental model lift. Final recommendations require out-of-sample validation.</x:v>
      </x:c>
      <x:c r="G29" s="21" t="str">
        <x:v>Observed trend separation indicates candidate predictive value but does not prove incremental model lift. Final recommendations require out-of-sample validation.</x:v>
      </x:c>
      <x:c r="H29" s="2"/>
    </x:row>
    <x:row r="30" ht="23" customHeight="1">
      <x:c r="A30" s="2"/>
      <x:c r="B30" s="2"/>
      <x:c r="C30" s="2"/>
      <x:c r="D30" s="2"/>
      <x:c r="E30" s="2"/>
      <x:c r="F30" s="2"/>
      <x:c r="G30" s="2"/>
      <x:c r="H30" s="2"/>
    </x:row>
    <x:row r="31" ht="23" customHeight="1">
      <x:c r="A31" s="2"/>
      <x:c r="B31" s="8" t="str">
        <x:v>Evidence distinctions</x:v>
      </x:c>
      <x:c r="C31" s="8" t="str">
        <x:v>Evidence distinctions</x:v>
      </x:c>
      <x:c r="D31" s="8" t="str">
        <x:v>Evidence distinctions</x:v>
      </x:c>
      <x:c r="E31" s="8" t="str">
        <x:v>Evidence distinctions</x:v>
      </x:c>
      <x:c r="F31" s="8" t="str">
        <x:v>Evidence distinctions</x:v>
      </x:c>
      <x:c r="G31" s="8" t="str">
        <x:v>Evidence distinctions</x:v>
      </x:c>
      <x:c r="H31" s="2"/>
    </x:row>
    <x:row r="32" ht="44" customHeight="1">
      <x:c r="A32" s="2"/>
      <x:c r="B32" s="10" t="str">
        <x:v>Descriptive trend: observed aggregate separation. Candidate feature: a proposed predictor to test. Validated model lift: measured incremental out-of-sample improvement; none is supplied here.</x:v>
      </x:c>
      <x:c r="C32" s="10" t="str">
        <x:v>Descriptive trend: observed aggregate separation. Candidate feature: a proposed predictor to test. Validated model lift: measured incremental out-of-sample improvement; none is supplied here.</x:v>
      </x:c>
      <x:c r="D32" s="10" t="str">
        <x:v>Descriptive trend: observed aggregate separation. Candidate feature: a proposed predictor to test. Validated model lift: measured incremental out-of-sample improvement; none is supplied here.</x:v>
      </x:c>
      <x:c r="E32" s="10" t="str">
        <x:v>Descriptive trend: observed aggregate separation. Candidate feature: a proposed predictor to test. Validated model lift: measured incremental out-of-sample improvement; none is supplied here.</x:v>
      </x:c>
      <x:c r="F32" s="10" t="str">
        <x:v>Descriptive trend: observed aggregate separation. Candidate feature: a proposed predictor to test. Validated model lift: measured incremental out-of-sample improvement; none is supplied here.</x:v>
      </x:c>
      <x:c r="G32" s="10" t="str">
        <x:v>Descriptive trend: observed aggregate separation. Candidate feature: a proposed predictor to test. Validated model lift: measured incremental out-of-sample improvement; none is supplied here.</x:v>
      </x:c>
      <x:c r="H32" s="2"/>
    </x:row>
    <x:row r="33" ht="23" customHeight="1">
      <x:c r="A33" s="2"/>
      <x:c r="B33" s="2"/>
      <x:c r="C33" s="2"/>
      <x:c r="D33" s="2"/>
      <x:c r="E33" s="2"/>
      <x:c r="F33" s="2"/>
      <x:c r="G33" s="2"/>
      <x:c r="H33" s="2"/>
    </x:row>
    <x:row r="34" ht="23" customHeight="1">
      <x:c r="A34" s="2"/>
      <x:c r="B34" s="19" t="str">
        <x:v>Available inputs</x:v>
      </x:c>
      <x:c r="C34" s="19" t="str">
        <x:v>Available inputs</x:v>
      </x:c>
      <x:c r="D34" s="19" t="str">
        <x:v>Available inputs</x:v>
      </x:c>
      <x:c r="E34" s="19" t="str">
        <x:v>Available inputs</x:v>
      </x:c>
      <x:c r="F34" s="19" t="str">
        <x:v>Available inputs</x:v>
      </x:c>
      <x:c r="G34" s="19" t="str">
        <x:v>Available inputs</x:v>
      </x:c>
      <x:c r="H34" s="2"/>
    </x:row>
    <x:row r="35" ht="42" customHeight="1">
      <x:c r="A35" s="2"/>
      <x:c r="B35" s="21" t="str">
        <x:v>Supplied NT1 brief plus the repository feature inventory. Diagnosis/procedure and specialty trend exports and baseline top-feature rankings were not found.</x:v>
      </x:c>
      <x:c r="C35" s="21" t="str">
        <x:v>Supplied NT1 brief plus the repository feature inventory. Diagnosis/procedure and specialty trend exports and baseline top-feature rankings were not found.</x:v>
      </x:c>
      <x:c r="D35" s="21" t="str">
        <x:v>Supplied NT1 brief plus the repository feature inventory. Diagnosis/procedure and specialty trend exports and baseline top-feature rankings were not found.</x:v>
      </x:c>
      <x:c r="E35" s="21" t="str">
        <x:v>Supplied NT1 brief plus the repository feature inventory. Diagnosis/procedure and specialty trend exports and baseline top-feature rankings were not found.</x:v>
      </x:c>
      <x:c r="F35" s="21" t="str">
        <x:v>Supplied NT1 brief plus the repository feature inventory. Diagnosis/procedure and specialty trend exports and baseline top-feature rankings were not found.</x:v>
      </x:c>
      <x:c r="G35" s="21" t="str">
        <x:v>Supplied NT1 brief plus the repository feature inventory. Diagnosis/procedure and specialty trend exports and baseline top-feature rankings were not found.</x:v>
      </x:c>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23" customHeight="1">
      <x:c r="A39" s="2"/>
      <x:c r="B39" s="2"/>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sheetData>
  <x:mergeCells>
    <x:mergeCell ref="B2:G2"/>
    <x:mergeCell ref="B4:G4"/>
    <x:mergeCell ref="B5:G5"/>
    <x:mergeCell ref="B7:G7"/>
    <x:mergeCell ref="B16:G16"/>
    <x:mergeCell ref="B17:G17"/>
    <x:mergeCell ref="B19:G19"/>
    <x:mergeCell ref="B20:G20"/>
    <x:mergeCell ref="B22:G22"/>
    <x:mergeCell ref="B23:G23"/>
    <x:mergeCell ref="B25:G25"/>
    <x:mergeCell ref="B26:G26"/>
    <x:mergeCell ref="B28:G28"/>
    <x:mergeCell ref="B29:G29"/>
    <x:mergeCell ref="B31:G31"/>
    <x:mergeCell ref="B32:G32"/>
    <x:mergeCell ref="B34:G34"/>
    <x:mergeCell ref="B35:G35"/>
  </x:mergeCells>
  <x:conditionalFormatting sqref="C9:C14">
    <x:cfRule type="containsText" dxfId="0" priority="1" operator="containsText" text="STRONG"/>
    <x:cfRule type="containsText" dxfId="1" priority="2" operator="containsText" text="PROMISING"/>
    <x:cfRule type="containsText" dxfId="2" priority="3" operator="containsText" text="WEAK"/>
    <x:cfRule type="containsText" dxfId="3" priority="4" operator="containsText" text="Needs Validation"/>
    <x:cfRule type="containsText" dxfId="4" priority="5" operator="containsText" text="Missing"/>
  </x:conditionalFormatting>
  <x:pageMargins left="0.7" right="0.7" top="0.75" bottom="0.75" header="0.3" footer="0.3"/>
  <x:tableParts count="1">
    <x:tablePart xmlns:r="http://schemas.openxmlformats.org/officeDocument/2006/relationships" r:id="Rcf9df7682a8048bd"/>
  </x:tableParts>
</x:worksheet>
</file>

<file path=xl/worksheets/sheet2.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31.25" hidden="0" customWidth="1"/>
    <x:col min="3" max="3" width="56.25" hidden="0" customWidth="1"/>
    <x:col min="4" max="4" width="35.630001068115234" hidden="0" customWidth="1"/>
    <x:col min="5" max="5" width="18.1299991607666" hidden="0" customWidth="1"/>
    <x:col min="6" max="6" width="2.5" hidden="0" customWidth="1"/>
    <x:col min="7" max="7" width="2.5" hidden="0" customWidth="1"/>
    <x:col min="8" max="8" width="3" hidden="0" customWidth="1"/>
  </x:cols>
  <x:sheetData>
    <x:row r="1" ht="23" customHeight="1">
      <x:c r="A1" s="2"/>
      <x:c r="B1" s="2"/>
      <x:c r="C1" s="2"/>
      <x:c r="D1" s="2"/>
      <x:c r="E1" s="2"/>
      <x:c r="F1" s="2"/>
      <x:c r="G1" s="2"/>
      <x:c r="H1" s="2"/>
    </x:row>
    <x:row r="2" ht="32" customHeight="1">
      <x:c r="A2" s="2"/>
      <x:c r="B2" s="4" t="str">
        <x:v>Rules &amp; Data Lineage</x:v>
      </x:c>
      <x:c r="C2" s="4" t="str">
        <x:v>Rules &amp; Data Lineage</x:v>
      </x:c>
      <x:c r="D2" s="4" t="str">
        <x:v>Rules &amp; Data Lineage</x:v>
      </x:c>
      <x:c r="E2" s="4" t="str">
        <x:v>Rules &amp; Data Lineage</x:v>
      </x:c>
      <x:c r="F2" s="4" t="str">
        <x:v>Rules &amp; Data Lineage</x:v>
      </x:c>
      <x:c r="G2" s="4" t="str">
        <x:v>Rules &amp; Data Lineage</x:v>
      </x:c>
      <x:c r="H2" s="2"/>
    </x:row>
    <x:row r="3" ht="23" customHeight="1">
      <x:c r="A3" s="2"/>
      <x:c r="B3" s="5"/>
      <x:c r="C3" s="5"/>
      <x:c r="D3" s="5"/>
      <x:c r="E3" s="5"/>
      <x:c r="F3" s="5"/>
      <x:c r="G3" s="5"/>
      <x:c r="H3" s="2"/>
    </x:row>
    <x:row r="4" ht="32" customHeight="1">
      <x:c r="A4" s="2"/>
      <x:c r="B4" s="12" t="str">
        <x:v>Confirmed statuses below are supplied in the brief; warehouse execution was not independently verified.</x:v>
      </x:c>
      <x:c r="C4" s="12" t="str">
        <x:v>Confirmed statuses below are supplied in the brief; warehouse execution was not independently verified.</x:v>
      </x:c>
      <x:c r="D4" s="12" t="str">
        <x:v>Confirmed statuses below are supplied in the brief; warehouse execution was not independently verified.</x:v>
      </x:c>
      <x:c r="E4" s="12" t="str">
        <x:v>Confirmed statuses below are supplied in the brief; warehouse execution was not independently verified.</x:v>
      </x:c>
      <x:c r="F4" s="12" t="str">
        <x:v>Confirmed statuses below are supplied in the brief; warehouse execution was not independently verified.</x:v>
      </x:c>
      <x:c r="G4" s="12" t="str">
        <x:v>Confirmed statuses below are supplied in the brief; warehouse execution was not independently verified.</x:v>
      </x:c>
      <x:c r="H4" s="2"/>
    </x:row>
    <x:row r="5" ht="23" customHeight="1">
      <x:c r="A5" s="2"/>
      <x:c r="B5" s="2"/>
      <x:c r="C5" s="2"/>
      <x:c r="D5" s="2"/>
      <x:c r="E5" s="2"/>
      <x:c r="F5" s="2"/>
      <x:c r="G5" s="2"/>
      <x:c r="H5" s="2"/>
    </x:row>
    <x:row r="6" ht="23" customHeight="1">
      <x:c r="A6" s="2"/>
      <x:c r="B6" s="2"/>
      <x:c r="C6" s="2"/>
      <x:c r="D6" s="2"/>
      <x:c r="E6" s="2"/>
      <x:c r="F6" s="2"/>
      <x:c r="G6" s="2"/>
      <x:c r="H6" s="2"/>
    </x:row>
    <x:row r="7" ht="23" customHeight="1">
      <x:c r="A7" s="2"/>
      <x:c r="B7" s="2"/>
      <x:c r="C7" s="2"/>
      <x:c r="D7" s="2"/>
      <x:c r="E7" s="2"/>
      <x:c r="F7" s="2"/>
      <x:c r="G7" s="2"/>
      <x:c r="H7" s="2"/>
    </x:row>
    <x:row r="8" ht="38" customHeight="1">
      <x:c r="A8" s="2"/>
      <x:c r="B8" s="16" t="str">
        <x:v>Business Rule</x:v>
      </x:c>
      <x:c r="C8" s="16" t="str">
        <x:v>Definition</x:v>
      </x:c>
      <x:c r="D8" s="16" t="str">
        <x:v>Source / Evidence</x:v>
      </x:c>
      <x:c r="E8" s="16" t="str">
        <x:v>Status</x:v>
      </x:c>
      <x:c r="F8" s="2"/>
      <x:c r="G8" s="2"/>
      <x:c r="H8" s="2"/>
    </x:row>
    <x:row r="9" ht="46" customHeight="1">
      <x:c r="A9" s="2"/>
      <x:c r="B9" s="13" t="str">
        <x:v>NT1 population</x:v>
      </x:c>
      <x:c r="C9" s="13" t="str">
        <x:v>NARCOLEPSY_CLAIMS.IS_NT1_CLAIM</x:v>
      </x:c>
      <x:c r="D9" s="13" t="str">
        <x:v>Brief; NARCOLEPSY_CLAIMS</x:v>
      </x:c>
      <x:c r="E9" s="13" t="str">
        <x:v>Confirmed</x:v>
      </x:c>
      <x:c r="F9" s="2"/>
      <x:c r="G9" s="2"/>
      <x:c r="H9" s="2"/>
    </x:row>
    <x:row r="10" ht="46" customHeight="1">
      <x:c r="A10" s="2"/>
      <x:c r="B10" s="13" t="str">
        <x:v>NT1 confirmation</x:v>
      </x:c>
      <x:c r="C10" s="13" t="str">
        <x:v>At least two qualifying NT1 claim dates ≥90 days apart</x:v>
      </x:c>
      <x:c r="D10" s="13" t="str">
        <x:v>Brief; qualifying claim dates</x:v>
      </x:c>
      <x:c r="E10" s="13" t="str">
        <x:v>Confirmed</x:v>
      </x:c>
      <x:c r="F10" s="2"/>
      <x:c r="G10" s="2"/>
      <x:c r="H10" s="2"/>
    </x:row>
    <x:row r="11" ht="46" customHeight="1">
      <x:c r="A11" s="2"/>
      <x:c r="B11" s="13" t="str">
        <x:v>Snapshot design</x:v>
      </x:c>
      <x:c r="C11" s="13" t="str">
        <x:v>Month-end index dates</x:v>
      </x:c>
      <x:c r="D11" s="13" t="str">
        <x:v>Brief; INDEX_DATE</x:v>
      </x:c>
      <x:c r="E11" s="13" t="str">
        <x:v>Confirmed</x:v>
      </x:c>
      <x:c r="F11" s="2"/>
      <x:c r="G11" s="2"/>
      <x:c r="H11" s="2"/>
    </x:row>
    <x:row r="12" ht="46" customHeight="1">
      <x:c r="A12" s="2"/>
      <x:c r="B12" s="13" t="str">
        <x:v>Effective data cutoff</x:v>
      </x:c>
      <x:c r="C12" s="13" t="str">
        <x:v>EFFECTIVE_DATA_END = INDEX_DATE − 40 days</x:v>
      </x:c>
      <x:c r="D12" s="13" t="str">
        <x:v>Brief; cutoff rule</x:v>
      </x:c>
      <x:c r="E12" s="13" t="str">
        <x:v>Confirmed</x:v>
      </x:c>
      <x:c r="F12" s="2"/>
      <x:c r="G12" s="2"/>
      <x:c r="H12" s="2"/>
    </x:row>
    <x:row r="13" ht="46" customHeight="1">
      <x:c r="A13" s="2"/>
      <x:c r="B13" s="13" t="str">
        <x:v>Generic lookback</x:v>
      </x:c>
      <x:c r="C13" s="13" t="str">
        <x:v>270 days prior to EFFECTIVE_DATA_END</x:v>
      </x:c>
      <x:c r="D13" s="13" t="str">
        <x:v>Brief; lookback rule</x:v>
      </x:c>
      <x:c r="E13" s="13" t="str">
        <x:v>Confirmed</x:v>
      </x:c>
      <x:c r="F13" s="2"/>
      <x:c r="G13" s="2"/>
      <x:c r="H13" s="2"/>
    </x:row>
    <x:row r="14" ht="46" customHeight="1">
      <x:c r="A14" s="2"/>
      <x:c r="B14" s="13" t="str">
        <x:v>Generic coverage</x:v>
      </x:c>
      <x:c r="C14" s="13" t="str">
        <x:v>≥135 days covered in prior 270 days</x:v>
      </x:c>
      <x:c r="D14" s="13" t="str">
        <x:v>Brief; coverage rule</x:v>
      </x:c>
      <x:c r="E14" s="13" t="str">
        <x:v>Confirmed</x:v>
      </x:c>
      <x:c r="F14" s="2"/>
      <x:c r="G14" s="2"/>
      <x:c r="H14" s="2"/>
    </x:row>
    <x:row r="15" ht="46" customHeight="1">
      <x:c r="A15" s="2"/>
      <x:c r="B15" s="13" t="str">
        <x:v>Maximum gap</x:v>
      </x:c>
      <x:c r="C15" s="13" t="str">
        <x:v>≤270 days</x:v>
      </x:c>
      <x:c r="D15" s="13" t="str">
        <x:v>Brief; maximum-gap rule</x:v>
      </x:c>
      <x:c r="E15" s="13" t="str">
        <x:v>Confirmed</x:v>
      </x:c>
      <x:c r="F15" s="2"/>
      <x:c r="G15" s="2"/>
      <x:c r="H15" s="2"/>
    </x:row>
    <x:row r="16" ht="46" customHeight="1">
      <x:c r="A16" s="2"/>
      <x:c r="B16" s="13" t="str">
        <x:v>Generic therapy</x:v>
      </x:c>
      <x:c r="C16" s="13" t="str">
        <x:v>IS_GENERIC = TRUE</x:v>
      </x:c>
      <x:c r="D16" s="13" t="str">
        <x:v>Brief; therapy classification</x:v>
      </x:c>
      <x:c r="E16" s="13" t="str">
        <x:v>Confirmed</x:v>
      </x:c>
      <x:c r="F16" s="2"/>
      <x:c r="G16" s="2"/>
      <x:c r="H16" s="2"/>
    </x:row>
    <x:row r="17" ht="46" customHeight="1">
      <x:c r="A17" s="2"/>
      <x:c r="B17" s="13" t="str">
        <x:v>Advanced therapy</x:v>
      </x:c>
      <x:c r="C17" s="13" t="str">
        <x:v>IS_GENERIC = FALSE</x:v>
      </x:c>
      <x:c r="D17" s="13" t="str">
        <x:v>Brief; therapy classification</x:v>
      </x:c>
      <x:c r="E17" s="13" t="str">
        <x:v>Confirmed</x:v>
      </x:c>
      <x:c r="F17" s="2"/>
      <x:c r="G17" s="2"/>
      <x:c r="H17" s="2"/>
    </x:row>
    <x:row r="18" ht="46" customHeight="1">
      <x:c r="A18" s="2"/>
      <x:c r="B18" s="13" t="str">
        <x:v>Prior advanced therapy</x:v>
      </x:c>
      <x:c r="C18" s="13" t="str">
        <x:v>Advanced-therapy naïve as of EFFECTIVE_DATA_END. Exclude any patient-snapshot with prior advanced therapy.</x:v>
      </x:c>
      <x:c r="D18" s="13" t="str">
        <x:v>Brief; prior exposure exclusion</x:v>
      </x:c>
      <x:c r="E18" s="13" t="str">
        <x:v>Confirmed</x:v>
      </x:c>
      <x:c r="F18" s="2"/>
      <x:c r="G18" s="2"/>
      <x:c r="H18" s="2"/>
    </x:row>
    <x:row r="19" ht="46" customHeight="1">
      <x:c r="A19" s="2"/>
      <x:c r="B19" s="13" t="str">
        <x:v>Positive label</x:v>
      </x:c>
      <x:c r="C19" s="13" t="str">
        <x:v>RESP = 1 when first advanced therapy occurs from EFFECTIVE_DATA_END+1 through +90 days</x:v>
      </x:c>
      <x:c r="D19" s="13" t="str">
        <x:v>Brief; outcome window</x:v>
      </x:c>
      <x:c r="E19" s="13" t="str">
        <x:v>Confirmed</x:v>
      </x:c>
      <x:c r="F19" s="2"/>
      <x:c r="G19" s="2"/>
      <x:c r="H19" s="2"/>
    </x:row>
    <x:row r="20" ht="46" customHeight="1">
      <x:c r="A20" s="2"/>
      <x:c r="B20" s="13" t="str">
        <x:v>Negative label</x:v>
      </x:c>
      <x:c r="C20" s="13" t="str">
        <x:v>RESP = 0 when no advanced therapy occurs in the next 90 days and the patient remains observable</x:v>
      </x:c>
      <x:c r="D20" s="13" t="str">
        <x:v>Brief; outcome / observation rule</x:v>
      </x:c>
      <x:c r="E20" s="13" t="str">
        <x:v>Confirmed</x:v>
      </x:c>
      <x:c r="F20" s="2"/>
      <x:c r="G20" s="2"/>
      <x:c r="H20" s="2"/>
    </x:row>
    <x:row r="21" ht="46" customHeight="1">
      <x:c r="A21" s="2"/>
      <x:c r="B21" s="13" t="str">
        <x:v>Negative observability</x:v>
      </x:c>
      <x:c r="C21" s="13" t="str">
        <x:v>Medical activity required during future follow-up</x:v>
      </x:c>
      <x:c r="D21" s="13" t="str">
        <x:v>Brief; follow-up rule</x:v>
      </x:c>
      <x:c r="E21" s="13" t="str">
        <x:v>Confirmed</x:v>
      </x:c>
      <x:c r="F21" s="2"/>
      <x:c r="G21" s="2"/>
      <x:c r="H21" s="2"/>
    </x:row>
    <x:row r="22" ht="46" customHeight="1">
      <x:c r="A22" s="2"/>
      <x:c r="B22" s="13" t="str">
        <x:v>Positive snapshot handling</x:v>
      </x:c>
      <x:c r="C22" s="13" t="str">
        <x:v>Keep first positive snapshot per patient</x:v>
      </x:c>
      <x:c r="D22" s="13" t="str">
        <x:v>Brief; snapshot retention</x:v>
      </x:c>
      <x:c r="E22" s="13" t="str">
        <x:v>Confirmed</x:v>
      </x:c>
      <x:c r="F22" s="2"/>
      <x:c r="G22" s="2"/>
      <x:c r="H22" s="2"/>
    </x:row>
    <x:row r="23" ht="46" customHeight="1">
      <x:c r="A23" s="2"/>
      <x:c r="B23" s="13" t="str">
        <x:v>Leakage control</x:v>
      </x:c>
      <x:c r="C23" s="13" t="str">
        <x:v>No feature may use information after EFFECTIVE_DATA_END</x:v>
      </x:c>
      <x:c r="D23" s="13" t="str">
        <x:v>Brief; feature timing</x:v>
      </x:c>
      <x:c r="E23" s="13" t="str">
        <x:v>Confirmed</x:v>
      </x:c>
      <x:c r="F23" s="2"/>
      <x:c r="G23" s="2"/>
      <x:c r="H23" s="2"/>
    </x:row>
    <x:row r="24" ht="23" customHeight="1">
      <x:c r="A24" s="2"/>
      <x:c r="B24" s="2"/>
      <x:c r="C24" s="2"/>
      <x:c r="D24" s="2"/>
      <x:c r="E24" s="2"/>
      <x:c r="F24" s="2"/>
      <x:c r="G24" s="2"/>
      <x:c r="H24" s="2"/>
    </x:row>
    <x:row r="25" ht="23" customHeight="1">
      <x:c r="A25" s="2"/>
      <x:c r="B25" s="8" t="str">
        <x:v>Data lineage</x:v>
      </x:c>
      <x:c r="C25" s="8" t="str">
        <x:v>Data lineage</x:v>
      </x:c>
      <x:c r="D25" s="8" t="str">
        <x:v>Data lineage</x:v>
      </x:c>
      <x:c r="E25" s="8" t="str">
        <x:v>Data lineage</x:v>
      </x:c>
      <x:c r="F25" s="8" t="str">
        <x:v>Data lineage</x:v>
      </x:c>
      <x:c r="G25" s="8" t="str">
        <x:v>Data lineage</x:v>
      </x:c>
      <x:c r="H25" s="2"/>
    </x:row>
    <x:row r="26" ht="44" customHeight="1">
      <x:c r="A26" s="2"/>
      <x:c r="B26" s="10" t="str">
        <x:v>Raw Sources → Confirmed NT1 → Generic Eligibility → Prior Advanced Exclusion → RESP Assignment → Final Population → Feature Engineering → Model Comparison</x:v>
      </x:c>
      <x:c r="C26" s="10" t="str">
        <x:v>Raw Sources → Confirmed NT1 → Generic Eligibility → Prior Advanced Exclusion → RESP Assignment → Final Population → Feature Engineering → Model Comparison</x:v>
      </x:c>
      <x:c r="D26" s="10" t="str">
        <x:v>Raw Sources → Confirmed NT1 → Generic Eligibility → Prior Advanced Exclusion → RESP Assignment → Final Population → Feature Engineering → Model Comparison</x:v>
      </x:c>
      <x:c r="E26" s="10" t="str">
        <x:v>Raw Sources → Confirmed NT1 → Generic Eligibility → Prior Advanced Exclusion → RESP Assignment → Final Population → Feature Engineering → Model Comparison</x:v>
      </x:c>
      <x:c r="F26" s="10" t="str">
        <x:v>Raw Sources → Confirmed NT1 → Generic Eligibility → Prior Advanced Exclusion → RESP Assignment → Final Population → Feature Engineering → Model Comparison</x:v>
      </x:c>
      <x:c r="G26" s="10" t="str">
        <x:v>Raw Sources → Confirmed NT1 → Generic Eligibility → Prior Advanced Exclusion → RESP Assignment → Final Population → Feature Engineering → Model Comparison</x:v>
      </x:c>
      <x:c r="H26" s="2"/>
    </x:row>
    <x:row r="27" ht="23" customHeight="1">
      <x:c r="A27" s="2"/>
      <x:c r="B27" s="2"/>
      <x:c r="C27" s="2"/>
      <x:c r="D27" s="2"/>
      <x:c r="E27" s="2"/>
      <x:c r="F27" s="2"/>
      <x:c r="G27" s="2"/>
      <x:c r="H27" s="2"/>
    </x:row>
    <x:row r="28" ht="23" customHeight="1">
      <x:c r="A28" s="2"/>
      <x:c r="B28" s="2"/>
      <x:c r="C28" s="2"/>
      <x:c r="D28" s="2"/>
      <x:c r="E28" s="2"/>
      <x:c r="F28" s="2"/>
      <x:c r="G28" s="2"/>
      <x:c r="H28" s="2"/>
    </x:row>
    <x:row r="29" ht="38" customHeight="1">
      <x:c r="A29" s="2"/>
      <x:c r="B29" s="16" t="str">
        <x:v>Source object / input</x:v>
      </x:c>
      <x:c r="C29" s="16" t="str">
        <x:v>Role</x:v>
      </x:c>
      <x:c r="D29" s="16" t="str">
        <x:v>Source / Evidence</x:v>
      </x:c>
      <x:c r="E29" s="16" t="str">
        <x:v>Status</x:v>
      </x:c>
      <x:c r="F29" s="2"/>
      <x:c r="G29" s="2"/>
      <x:c r="H29" s="2"/>
    </x:row>
    <x:row r="30" ht="57" customHeight="1">
      <x:c r="A30" s="2"/>
      <x:c r="B30" s="13" t="str">
        <x:v>DSVC_TAKEDA_TA_PRIVATE.TAK861_ADOPTION.NARCOLEPSY_CLAIMS</x:v>
      </x:c>
      <x:c r="C30" s="13" t="str">
        <x:v>NT1 qualification</x:v>
      </x:c>
      <x:c r="D30" s="13" t="str">
        <x:v>Supplied source object</x:v>
      </x:c>
      <x:c r="E30" s="13" t="str">
        <x:v>Supplied</x:v>
      </x:c>
      <x:c r="F30" s="2"/>
      <x:c r="G30" s="2"/>
      <x:c r="H30" s="2"/>
    </x:row>
    <x:row r="31" ht="57" customHeight="1">
      <x:c r="A31" s="2"/>
      <x:c r="B31" s="13" t="str">
        <x:v>DSVC_TAKEDA_TA_PRIVATE.TAK861.NARCOLEPSY_MARKET_BASKET_CLAIMS_NO_MDD</x:v>
      </x:c>
      <x:c r="C31" s="13" t="str">
        <x:v>Therapy exposure and market basket</x:v>
      </x:c>
      <x:c r="D31" s="13" t="str">
        <x:v>Supplied source object</x:v>
      </x:c>
      <x:c r="E31" s="13" t="str">
        <x:v>Supplied</x:v>
      </x:c>
      <x:c r="F31" s="2"/>
      <x:c r="G31" s="2"/>
      <x:c r="H31" s="2"/>
    </x:row>
    <x:row r="32" ht="57" customHeight="1">
      <x:c r="A32" s="2"/>
      <x:c r="B32" s="13" t="str">
        <x:v>DSVC_TAKEDA_FULLMAP_PLAID_PROD.COHORT_1009719.MEDICAL_EVENTS_LATEST</x:v>
      </x:c>
      <x:c r="C32" s="13" t="str">
        <x:v>Medical activity, diagnosis and procedure features</x:v>
      </x:c>
      <x:c r="D32" s="13" t="str">
        <x:v>Supplied source object</x:v>
      </x:c>
      <x:c r="E32" s="13" t="str">
        <x:v>Supplied</x:v>
      </x:c>
      <x:c r="F32" s="2"/>
      <x:c r="G32" s="2"/>
      <x:c r="H32" s="2"/>
    </x:row>
    <x:row r="33" ht="57" customHeight="1">
      <x:c r="A33" s="2"/>
      <x:c r="B33" s="13" t="str">
        <x:v>DSVC_TAKEDA_FULLMAP_PLAID_PROD.COHORT_1009719.PHARMACY_EVENTS_LATEST</x:v>
      </x:c>
      <x:c r="C33" s="13" t="str">
        <x:v>Pharmacy activity and exposure</x:v>
      </x:c>
      <x:c r="D33" s="13" t="str">
        <x:v>Supplied source object</x:v>
      </x:c>
      <x:c r="E33" s="13" t="str">
        <x:v>Supplied</x:v>
      </x:c>
      <x:c r="F33" s="2"/>
      <x:c r="G33" s="2"/>
      <x:c r="H33" s="2"/>
    </x:row>
    <x:row r="34" ht="57" customHeight="1">
      <x:c r="A34" s="2"/>
      <x:c r="B34" s="13" t="str">
        <x:v>PROVIDERS_LATEST</x:v>
      </x:c>
      <x:c r="C34" s="13" t="str">
        <x:v>Provider and specialty linkage</x:v>
      </x:c>
      <x:c r="D34" s="13" t="str">
        <x:v>Database/schema not supplied</x:v>
      </x:c>
      <x:c r="E34" s="13" t="str">
        <x:v>Needs Validation</x:v>
      </x:c>
      <x:c r="F34" s="2"/>
      <x:c r="G34" s="2"/>
      <x:c r="H34" s="2"/>
    </x:row>
    <x:row r="35" ht="57" customHeight="1">
      <x:c r="A35" s="2"/>
      <x:c r="B35" s="13" t="str">
        <x:v>Relevant plan IDs / plan source</x:v>
      </x:c>
      <x:c r="C35" s="13" t="str">
        <x:v>Plan-linked pharmacy events</x:v>
      </x:c>
      <x:c r="D35" s="13" t="str">
        <x:v>Exact source and join keys not supplied</x:v>
      </x:c>
      <x:c r="E35" s="13" t="str">
        <x:v>Needs Validation</x:v>
      </x:c>
      <x:c r="F35" s="2"/>
      <x:c r="G35" s="2"/>
      <x:c r="H35" s="2"/>
    </x:row>
    <x:row r="36" ht="57" customHeight="1">
      <x:c r="A36" s="2"/>
      <x:c r="B36" s="13" t="str">
        <x:v>Supplied NT1 trend-analysis brief</x:v>
      </x:c>
      <x:c r="C36" s="13" t="str">
        <x:v>All displayed cohort and RESP aggregates</x:v>
      </x:c>
      <x:c r="D36" s="13" t="str">
        <x:v>Request supplied on 2026-09-11</x:v>
      </x:c>
      <x:c r="E36" s="13" t="str">
        <x:v>Supplied</x:v>
      </x:c>
      <x:c r="F36" s="2"/>
      <x:c r="G36" s="2"/>
      <x:c r="H36" s="2"/>
    </x:row>
    <x:row r="37" ht="57" customHeight="1">
      <x:c r="A37" s="2"/>
      <x:c r="B37" s="13" t="str">
        <x:v>docs/Features_and_analysis.xlsx; Features sheet</x:v>
      </x:c>
      <x:c r="C37" s="13" t="str">
        <x:v>Supplementary benchmark feature inventory</x:v>
      </x:c>
      <x:c r="D37" s="13" t="str">
        <x:v>Existing repository file</x:v>
      </x:c>
      <x:c r="E37" s="13" t="str">
        <x:v>Available</x:v>
      </x:c>
      <x:c r="F37" s="2"/>
      <x:c r="G37" s="2"/>
      <x:c r="H37" s="2"/>
    </x:row>
    <x:row r="38" ht="57" customHeight="1">
      <x:c r="A38" s="2"/>
      <x:c r="B38" s="13" t="str">
        <x:v>Diagnosis/procedure and specialty trend exports</x:v>
      </x:c>
      <x:c r="C38" s="13" t="str">
        <x:v>Code and specialty enrichment detail</x:v>
      </x:c>
      <x:c r="D38" s="13" t="str">
        <x:v>No matching exports found</x:v>
      </x:c>
      <x:c r="E38" s="13" t="str">
        <x:v>Missing</x:v>
      </x:c>
      <x:c r="F38" s="2"/>
      <x:c r="G38" s="2"/>
      <x:c r="H38" s="2"/>
    </x:row>
    <x:row r="39" ht="23" customHeight="1">
      <x:c r="A39" s="2"/>
      <x:c r="B39" s="2"/>
      <x:c r="C39" s="2"/>
      <x:c r="D39" s="2"/>
      <x:c r="E39" s="2"/>
      <x:c r="F39" s="2"/>
      <x:c r="G39" s="2"/>
      <x:c r="H39" s="2"/>
    </x:row>
    <x:row r="40" ht="23" customHeight="1">
      <x:c r="A40" s="2"/>
      <x:c r="B40" s="19" t="str">
        <x:v>Methodology reconciliation</x:v>
      </x:c>
      <x:c r="C40" s="19" t="str">
        <x:v>Methodology reconciliation</x:v>
      </x:c>
      <x:c r="D40" s="19" t="str">
        <x:v>Methodology reconciliation</x:v>
      </x:c>
      <x:c r="E40" s="19" t="str">
        <x:v>Methodology reconciliation</x:v>
      </x:c>
      <x:c r="F40" s="19" t="str">
        <x:v>Methodology reconciliation</x:v>
      </x:c>
      <x:c r="G40" s="19" t="str">
        <x:v>Methodology reconciliation</x:v>
      </x:c>
      <x:c r="H40" s="2"/>
    </x:row>
    <x:row r="41" ht="52" customHeight="1">
      <x:c r="A41" s="2"/>
      <x:c r="B41" s="21" t="str">
        <x:v>Repository benchmark inventory uses conventional-therapy and assessment-date wording. The supplied analysis uses IS_GENERIC and EFFECTIVE_DATA_END. Preserve both source definitions; reconcile mappings and timing before reusing features.</x:v>
      </x:c>
      <x:c r="C41" s="21" t="str">
        <x:v>Repository benchmark inventory uses conventional-therapy and assessment-date wording. The supplied analysis uses IS_GENERIC and EFFECTIVE_DATA_END. Preserve both source definitions; reconcile mappings and timing before reusing features.</x:v>
      </x:c>
      <x:c r="D41" s="21" t="str">
        <x:v>Repository benchmark inventory uses conventional-therapy and assessment-date wording. The supplied analysis uses IS_GENERIC and EFFECTIVE_DATA_END. Preserve both source definitions; reconcile mappings and timing before reusing features.</x:v>
      </x:c>
      <x:c r="E41" s="21" t="str">
        <x:v>Repository benchmark inventory uses conventional-therapy and assessment-date wording. The supplied analysis uses IS_GENERIC and EFFECTIVE_DATA_END. Preserve both source definitions; reconcile mappings and timing before reusing features.</x:v>
      </x:c>
      <x:c r="F41" s="21" t="str">
        <x:v>Repository benchmark inventory uses conventional-therapy and assessment-date wording. The supplied analysis uses IS_GENERIC and EFFECTIVE_DATA_END. Preserve both source definitions; reconcile mappings and timing before reusing features.</x:v>
      </x:c>
      <x:c r="G41" s="21" t="str">
        <x:v>Repository benchmark inventory uses conventional-therapy and assessment-date wording. The supplied analysis uses IS_GENERIC and EFFECTIVE_DATA_END. Preserve both source definitions; reconcile mappings and timing before reusing features.</x:v>
      </x:c>
      <x:c r="H41" s="2"/>
    </x:row>
    <x:row r="42" ht="23" customHeight="1">
      <x:c r="A42" s="2"/>
      <x:c r="B42" s="2"/>
      <x:c r="C42" s="2"/>
      <x:c r="D42" s="2"/>
      <x:c r="E42" s="2"/>
      <x:c r="F42" s="2"/>
      <x:c r="G42" s="2"/>
      <x:c r="H42" s="2"/>
    </x:row>
    <x:row r="43" ht="23" customHeight="1">
      <x:c r="A43" s="2"/>
      <x:c r="B43" s="19" t="str">
        <x:v>Timing implication</x:v>
      </x:c>
      <x:c r="C43" s="19" t="str">
        <x:v>Timing implication</x:v>
      </x:c>
      <x:c r="D43" s="19" t="str">
        <x:v>Timing implication</x:v>
      </x:c>
      <x:c r="E43" s="19" t="str">
        <x:v>Timing implication</x:v>
      </x:c>
      <x:c r="F43" s="19" t="str">
        <x:v>Timing implication</x:v>
      </x:c>
      <x:c r="G43" s="19" t="str">
        <x:v>Timing implication</x:v>
      </x:c>
      <x:c r="H43" s="2"/>
    </x:row>
    <x:row r="44" ht="52" customHeight="1">
      <x:c r="A44" s="2"/>
      <x:c r="B44" s="21" t="str">
        <x:v>The supplied 90-day label starts at the effective cutoff, 40 days before the month-end index. It therefore ends at INDEX_DATE+50 days. This is the supplied rule; confirm alignment with the intended operational prediction date.</x:v>
      </x:c>
      <x:c r="C44" s="21" t="str">
        <x:v>The supplied 90-day label starts at the effective cutoff, 40 days before the month-end index. It therefore ends at INDEX_DATE+50 days. This is the supplied rule; confirm alignment with the intended operational prediction date.</x:v>
      </x:c>
      <x:c r="D44" s="21" t="str">
        <x:v>The supplied 90-day label starts at the effective cutoff, 40 days before the month-end index. It therefore ends at INDEX_DATE+50 days. This is the supplied rule; confirm alignment with the intended operational prediction date.</x:v>
      </x:c>
      <x:c r="E44" s="21" t="str">
        <x:v>The supplied 90-day label starts at the effective cutoff, 40 days before the month-end index. It therefore ends at INDEX_DATE+50 days. This is the supplied rule; confirm alignment with the intended operational prediction date.</x:v>
      </x:c>
      <x:c r="F44" s="21" t="str">
        <x:v>The supplied 90-day label starts at the effective cutoff, 40 days before the month-end index. It therefore ends at INDEX_DATE+50 days. This is the supplied rule; confirm alignment with the intended operational prediction date.</x:v>
      </x:c>
      <x:c r="G44" s="21" t="str">
        <x:v>The supplied 90-day label starts at the effective cutoff, 40 days before the month-end index. It therefore ends at INDEX_DATE+50 days. This is the supplied rule; confirm alignment with the intended operational prediction date.</x:v>
      </x:c>
      <x:c r="H44" s="2"/>
    </x:row>
    <x:row r="45" ht="23" customHeight="1">
      <x:c r="A45" s="2"/>
      <x:c r="B45" s="2"/>
      <x:c r="C45" s="2"/>
      <x:c r="D45" s="2"/>
      <x:c r="E45" s="2"/>
      <x:c r="F45" s="2"/>
      <x:c r="G45" s="2"/>
      <x:c r="H45" s="2"/>
    </x:row>
    <x:row r="46" ht="23" customHeight="1">
      <x:c r="A46" s="2"/>
      <x:c r="B46" s="8" t="str">
        <x:v>Denominators and missing details</x:v>
      </x:c>
      <x:c r="C46" s="8" t="str">
        <x:v>Denominators and missing details</x:v>
      </x:c>
      <x:c r="D46" s="8" t="str">
        <x:v>Denominators and missing details</x:v>
      </x:c>
      <x:c r="E46" s="8" t="str">
        <x:v>Denominators and missing details</x:v>
      </x:c>
      <x:c r="F46" s="8" t="str">
        <x:v>Denominators and missing details</x:v>
      </x:c>
      <x:c r="G46" s="8" t="str">
        <x:v>Denominators and missing details</x:v>
      </x:c>
      <x:c r="H46" s="2"/>
    </x:row>
    <x:row r="47" ht="52" customHeight="1">
      <x:c r="A47" s="2"/>
      <x:c r="B47" s="10" t="str">
        <x:v>Analysis-specific counts differ across trend domains. Do not sum patient counts across sheets or infer a final eligible cohort. Exact negative-observation coverage, lookback boundaries and therapy-change ordering need implementation-level confirmation.</x:v>
      </x:c>
      <x:c r="C47" s="10" t="str">
        <x:v>Analysis-specific counts differ across trend domains. Do not sum patient counts across sheets or infer a final eligible cohort. Exact negative-observation coverage, lookback boundaries and therapy-change ordering need implementation-level confirmation.</x:v>
      </x:c>
      <x:c r="D47" s="10" t="str">
        <x:v>Analysis-specific counts differ across trend domains. Do not sum patient counts across sheets or infer a final eligible cohort. Exact negative-observation coverage, lookback boundaries and therapy-change ordering need implementation-level confirmation.</x:v>
      </x:c>
      <x:c r="E47" s="10" t="str">
        <x:v>Analysis-specific counts differ across trend domains. Do not sum patient counts across sheets or infer a final eligible cohort. Exact negative-observation coverage, lookback boundaries and therapy-change ordering need implementation-level confirmation.</x:v>
      </x:c>
      <x:c r="F47" s="10" t="str">
        <x:v>Analysis-specific counts differ across trend domains. Do not sum patient counts across sheets or infer a final eligible cohort. Exact negative-observation coverage, lookback boundaries and therapy-change ordering need implementation-level confirmation.</x:v>
      </x:c>
      <x:c r="G47" s="10" t="str">
        <x:v>Analysis-specific counts differ across trend domains. Do not sum patient counts across sheets or infer a final eligible cohort. Exact negative-observation coverage, lookback boundaries and therapy-change ordering need implementation-level confirmation.</x:v>
      </x:c>
      <x:c r="H47" s="2"/>
    </x:row>
    <x:row r="48" ht="23" customHeight="1">
      <x:c r="A48" s="2"/>
      <x:c r="B48" s="2"/>
      <x:c r="C48" s="2"/>
      <x:c r="D48" s="2"/>
      <x:c r="E48" s="2"/>
      <x:c r="F48" s="2"/>
      <x:c r="G48" s="2"/>
      <x:c r="H48" s="2"/>
    </x:row>
    <x:row r="49" ht="23" customHeight="1">
      <x:c r="A49" s="2"/>
      <x:c r="B49" s="2"/>
      <x:c r="C49" s="2"/>
      <x:c r="D49" s="2"/>
      <x:c r="E49" s="2"/>
      <x:c r="F49" s="2"/>
      <x:c r="G49" s="2"/>
      <x:c r="H49" s="2"/>
    </x:row>
    <x:row r="50" ht="23" customHeight="1">
      <x:c r="A50" s="2"/>
      <x:c r="B50" s="2"/>
      <x:c r="C50" s="2"/>
      <x:c r="D50" s="2"/>
      <x:c r="E50" s="2"/>
      <x:c r="F50" s="2"/>
      <x:c r="G50" s="2"/>
      <x:c r="H50" s="2"/>
    </x:row>
    <x:row r="51" ht="23" customHeight="1">
      <x:c r="A51" s="2"/>
      <x:c r="B51" s="2"/>
      <x:c r="C51" s="2"/>
      <x:c r="D51" s="2"/>
      <x:c r="E51" s="2"/>
      <x:c r="F51" s="2"/>
      <x:c r="G51" s="2"/>
      <x:c r="H51" s="2"/>
    </x:row>
  </x:sheetData>
  <x:mergeCells>
    <x:mergeCell ref="B2:G2"/>
    <x:mergeCell ref="B4:G4"/>
    <x:mergeCell ref="B25:G25"/>
    <x:mergeCell ref="B26:G26"/>
    <x:mergeCell ref="B40:G40"/>
    <x:mergeCell ref="B41:G41"/>
    <x:mergeCell ref="B43:G43"/>
    <x:mergeCell ref="B44:G44"/>
    <x:mergeCell ref="B46:G46"/>
    <x:mergeCell ref="B47:G47"/>
  </x:mergeCells>
  <x:conditionalFormatting sqref="E30:E38">
    <x:cfRule type="containsText" dxfId="5" priority="1" operator="containsText" text="STRONG"/>
    <x:cfRule type="containsText" dxfId="6" priority="2" operator="containsText" text="PROMISING"/>
    <x:cfRule type="containsText" dxfId="7" priority="3" operator="containsText" text="WEAK"/>
    <x:cfRule type="containsText" dxfId="8" priority="4" operator="containsText" text="Needs Validation"/>
    <x:cfRule type="containsText" dxfId="9" priority="5" operator="containsText" text="Missing"/>
  </x:conditionalFormatting>
  <x:pageMargins left="0.7" right="0.7" top="0.75" bottom="0.75" header="0.3" footer="0.3"/>
  <x:tableParts count="2">
    <x:tablePart xmlns:r="http://schemas.openxmlformats.org/officeDocument/2006/relationships" r:id="Re600df9fc4f34655"/>
    <x:tablePart xmlns:r="http://schemas.openxmlformats.org/officeDocument/2006/relationships" r:id="Re18f5829c0e046f0"/>
  </x:tableParts>
</x:worksheet>
</file>

<file path=xl/worksheets/sheet3.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42.5" hidden="0" customWidth="1"/>
    <x:col min="3" max="3" width="23.75" hidden="0" customWidth="1"/>
    <x:col min="4" max="4" width="23.75" hidden="0" customWidth="1"/>
    <x:col min="5" max="5" width="23.75" hidden="0" customWidth="1"/>
    <x:col min="6" max="6" width="12.5" hidden="0" customWidth="1"/>
    <x:col min="7" max="7" width="13.75" hidden="0" customWidth="1"/>
    <x:col min="8" max="8" width="3" hidden="0" customWidth="1"/>
  </x:cols>
  <x:sheetData>
    <x:row r="1" ht="23" customHeight="1">
      <x:c r="A1" s="2"/>
      <x:c r="B1" s="2"/>
      <x:c r="C1" s="2"/>
      <x:c r="D1" s="2"/>
      <x:c r="E1" s="2"/>
      <x:c r="F1" s="2"/>
      <x:c r="G1" s="2"/>
      <x:c r="H1" s="2"/>
    </x:row>
    <x:row r="2" ht="32" customHeight="1">
      <x:c r="A2" s="2"/>
      <x:c r="B2" s="4" t="str">
        <x:v>Cohort Funnel</x:v>
      </x:c>
      <x:c r="C2" s="4" t="str">
        <x:v>Cohort Funnel</x:v>
      </x:c>
      <x:c r="D2" s="4" t="str">
        <x:v>Cohort Funnel</x:v>
      </x:c>
      <x:c r="E2" s="4" t="str">
        <x:v>Cohort Funnel</x:v>
      </x:c>
      <x:c r="F2" s="4" t="str">
        <x:v>Cohort Funnel</x:v>
      </x:c>
      <x:c r="G2" s="4" t="str">
        <x:v>Cohort Funnel</x:v>
      </x:c>
      <x:c r="H2" s="2"/>
    </x:row>
    <x:row r="3" ht="23" customHeight="1">
      <x:c r="A3" s="2"/>
      <x:c r="B3" s="5"/>
      <x:c r="C3" s="5"/>
      <x:c r="D3" s="5"/>
      <x:c r="E3" s="5"/>
      <x:c r="F3" s="5"/>
      <x:c r="G3" s="5"/>
      <x:c r="H3" s="2"/>
    </x:row>
    <x:row r="4" ht="23" customHeight="1">
      <x:c r="A4" s="2"/>
      <x:c r="B4" s="2"/>
      <x:c r="C4" s="2"/>
      <x:c r="D4" s="2"/>
      <x:c r="E4" s="2"/>
      <x:c r="F4" s="2"/>
      <x:c r="G4" s="2"/>
      <x:c r="H4" s="2"/>
    </x:row>
    <x:row r="5" ht="23" customHeight="1">
      <x:c r="A5" s="2"/>
      <x:c r="B5" s="12" t="str">
        <x:v>Source: supplied NT1 trend-analysis brief. Aggregates have not been rerun against warehouse data.</x:v>
      </x:c>
      <x:c r="C5" s="12" t="str">
        <x:v>Source: supplied NT1 trend-analysis brief. Aggregates have not been rerun against warehouse data.</x:v>
      </x:c>
      <x:c r="D5" s="12" t="str">
        <x:v>Source: supplied NT1 trend-analysis brief. Aggregates have not been rerun against warehouse data.</x:v>
      </x:c>
      <x:c r="E5" s="12" t="str">
        <x:v>Source: supplied NT1 trend-analysis brief. Aggregates have not been rerun against warehouse data.</x:v>
      </x:c>
      <x:c r="F5" s="12" t="str">
        <x:v>Source: supplied NT1 trend-analysis brief. Aggregates have not been rerun against warehouse data.</x:v>
      </x:c>
      <x:c r="G5" s="12" t="str">
        <x:v>Source: supplied NT1 trend-analysis brief. Aggregates have not been rerun against warehouse data.</x:v>
      </x:c>
      <x:c r="H5" s="2"/>
    </x:row>
    <x:row r="6" ht="23" customHeight="1">
      <x:c r="A6" s="2"/>
      <x:c r="B6" s="2"/>
      <x:c r="C6" s="2"/>
      <x:c r="D6" s="2"/>
      <x:c r="E6" s="2"/>
      <x:c r="F6" s="2"/>
      <x:c r="G6" s="2"/>
      <x:c r="H6" s="2"/>
    </x:row>
    <x:row r="7" ht="23" customHeight="1">
      <x:c r="A7" s="2"/>
      <x:c r="B7" s="2"/>
      <x:c r="C7" s="2"/>
      <x:c r="D7" s="2"/>
      <x:c r="E7" s="2"/>
      <x:c r="F7" s="2"/>
      <x:c r="G7" s="2"/>
      <x:c r="H7" s="2"/>
    </x:row>
    <x:row r="8" ht="38" customHeight="1">
      <x:c r="A8" s="2"/>
      <x:c r="B8" s="16" t="str">
        <x:v>Stage / measure</x:v>
      </x:c>
      <x:c r="C8" s="16" t="str">
        <x:v>Value</x:v>
      </x:c>
      <x:c r="D8" s="16" t="str">
        <x:v>Unit</x:v>
      </x:c>
      <x:c r="E8" s="16" t="str">
        <x:v>Scope / Notes</x:v>
      </x:c>
      <x:c r="F8" s="2"/>
      <x:c r="G8" s="2"/>
      <x:c r="H8" s="2"/>
    </x:row>
    <x:row r="9" ht="44" customHeight="1">
      <x:c r="A9" s="2"/>
      <x:c r="B9" s="13" t="str">
        <x:v>NT1 claim rows</x:v>
      </x:c>
      <x:c r="C9" s="22" t="n">
        <x:v>1102929</x:v>
      </x:c>
      <x:c r="D9" s="13" t="str">
        <x:v>Event rows</x:v>
      </x:c>
      <x:c r="E9" s="13" t="str">
        <x:v>Not a patient count</x:v>
      </x:c>
      <x:c r="F9" s="2"/>
      <x:c r="G9" s="2"/>
      <x:c r="H9" s="2"/>
    </x:row>
    <x:row r="10" ht="44" customHeight="1">
      <x:c r="A10" s="2"/>
      <x:c r="B10" s="13" t="str">
        <x:v>Patients with NT1 claims</x:v>
      </x:c>
      <x:c r="C10" s="22" t="n">
        <x:v>176552</x:v>
      </x:c>
      <x:c r="D10" s="13" t="str">
        <x:v>Patients</x:v>
      </x:c>
      <x:c r="E10" s="13" t="str">
        <x:v>Distinct patients</x:v>
      </x:c>
      <x:c r="F10" s="2"/>
      <x:c r="G10" s="2"/>
      <x:c r="H10" s="2"/>
    </x:row>
    <x:row r="11" ht="44" customHeight="1">
      <x:c r="A11" s="2"/>
      <x:c r="B11" s="13" t="str">
        <x:v>Confirmed NT1 patients</x:v>
      </x:c>
      <x:c r="C11" s="22" t="n">
        <x:v>85585</x:v>
      </x:c>
      <x:c r="D11" s="13" t="str">
        <x:v>Patients</x:v>
      </x:c>
      <x:c r="E11" s="13" t="str">
        <x:v>Confirmation rule applied</x:v>
      </x:c>
      <x:c r="F11" s="2"/>
      <x:c r="G11" s="2"/>
      <x:c r="H11" s="2"/>
    </x:row>
    <x:row r="12" ht="44" customHeight="1">
      <x:c r="A12" s="2"/>
      <x:c r="B12" s="13" t="str">
        <x:v>Confirmed NT1 ever observed on advanced therapy</x:v>
      </x:c>
      <x:c r="C12" s="22" t="n">
        <x:v>34791</x:v>
      </x:c>
      <x:c r="D12" s="13" t="str">
        <x:v>Patients</x:v>
      </x:c>
      <x:c r="E12" s="13" t="str">
        <x:v>Historical descriptive subset; not final eligible cohort</x:v>
      </x:c>
      <x:c r="F12" s="2"/>
      <x:c r="G12" s="2"/>
      <x:c r="H12" s="2"/>
    </x:row>
    <x:row r="13" ht="44" customHeight="1">
      <x:c r="A13" s="2"/>
      <x:c r="B13" s="13" t="str">
        <x:v>Earliest observed advanced fill</x:v>
      </x:c>
      <x:c r="C13" s="23" t="n">
        <x:v>42005</x:v>
      </x:c>
      <x:c r="D13" s="13" t="str">
        <x:v>Date</x:v>
      </x:c>
      <x:c r="E13" s="13" t="str">
        <x:v>Observed fill range</x:v>
      </x:c>
      <x:c r="F13" s="2"/>
      <x:c r="G13" s="2"/>
      <x:c r="H13" s="2"/>
    </x:row>
    <x:row r="14" ht="44" customHeight="1">
      <x:c r="A14" s="2"/>
      <x:c r="B14" s="13" t="str">
        <x:v>Latest observed advanced fill</x:v>
      </x:c>
      <x:c r="C14" s="23" t="n">
        <x:v>46178</x:v>
      </x:c>
      <x:c r="D14" s="13" t="str">
        <x:v>Date</x:v>
      </x:c>
      <x:c r="E14" s="13" t="str">
        <x:v>Not a proven extract or label-maturity cutoff</x:v>
      </x:c>
      <x:c r="F14" s="2"/>
      <x:c r="G14" s="2"/>
      <x:c r="H14" s="2"/>
    </x:row>
    <x:row r="15" ht="23" customHeight="1">
      <x:c r="A15" s="2"/>
      <x:c r="B15" s="2"/>
      <x:c r="C15" s="2"/>
      <x:c r="D15" s="2"/>
      <x:c r="E15" s="2"/>
      <x:c r="F15" s="2"/>
      <x:c r="G15" s="2"/>
      <x:c r="H15" s="2"/>
    </x:row>
    <x:row r="16" ht="23" customHeight="1">
      <x:c r="A16" s="2"/>
      <x:c r="B16" s="19" t="str">
        <x:v>Missing funnel stages</x:v>
      </x:c>
      <x:c r="C16" s="19" t="str">
        <x:v>Missing funnel stages</x:v>
      </x:c>
      <x:c r="D16" s="19" t="str">
        <x:v>Missing funnel stages</x:v>
      </x:c>
      <x:c r="E16" s="19" t="str">
        <x:v>Missing funnel stages</x:v>
      </x:c>
      <x:c r="F16" s="19" t="str">
        <x:v>Missing funnel stages</x:v>
      </x:c>
      <x:c r="G16" s="19" t="str">
        <x:v>Missing funnel stages</x:v>
      </x:c>
      <x:c r="H16" s="2"/>
    </x:row>
    <x:row r="17" ht="42" customHeight="1">
      <x:c r="A17" s="2"/>
      <x:c r="B17" s="21" t="str">
        <x:v>Generic eligibility, prior-advanced exclusion, label-observable population and final eligible cohort counts were not supplied. No missing stage count is inferred.</x:v>
      </x:c>
      <x:c r="C17" s="21" t="str">
        <x:v>Generic eligibility, prior-advanced exclusion, label-observable population and final eligible cohort counts were not supplied. No missing stage count is inferred.</x:v>
      </x:c>
      <x:c r="D17" s="21" t="str">
        <x:v>Generic eligibility, prior-advanced exclusion, label-observable population and final eligible cohort counts were not supplied. No missing stage count is inferred.</x:v>
      </x:c>
      <x:c r="E17" s="21" t="str">
        <x:v>Generic eligibility, prior-advanced exclusion, label-observable population and final eligible cohort counts were not supplied. No missing stage count is inferred.</x:v>
      </x:c>
      <x:c r="F17" s="21" t="str">
        <x:v>Generic eligibility, prior-advanced exclusion, label-observable population and final eligible cohort counts were not supplied. No missing stage count is inferred.</x:v>
      </x:c>
      <x:c r="G17" s="21" t="str">
        <x:v>Generic eligibility, prior-advanced exclusion, label-observable population and final eligible cohort counts were not supplied. No missing stage count is inferred.</x:v>
      </x:c>
      <x:c r="H17" s="2"/>
    </x:row>
    <x:row r="18" ht="23" customHeight="1">
      <x:c r="A18" s="2"/>
      <x:c r="B18" s="2"/>
      <x:c r="C18" s="2"/>
      <x:c r="D18" s="2"/>
      <x:c r="E18" s="2"/>
      <x:c r="F18" s="2"/>
      <x:c r="G18" s="2"/>
      <x:c r="H18" s="2"/>
    </x:row>
    <x:row r="19" ht="38" customHeight="1">
      <x:c r="A19" s="2"/>
      <x:c r="B19" s="16" t="str">
        <x:v>Market basket measure</x:v>
      </x:c>
      <x:c r="C19" s="16" t="str">
        <x:v>Value</x:v>
      </x:c>
      <x:c r="D19" s="16" t="str">
        <x:v>Unit</x:v>
      </x:c>
      <x:c r="E19" s="16" t="str">
        <x:v>Scope / Notes</x:v>
      </x:c>
      <x:c r="F19" s="2"/>
      <x:c r="G19" s="2"/>
      <x:c r="H19" s="2"/>
    </x:row>
    <x:row r="20" ht="33" customHeight="1">
      <x:c r="A20" s="2"/>
      <x:c r="B20" s="13" t="str">
        <x:v>Total rows</x:v>
      </x:c>
      <x:c r="C20" s="22" t="n">
        <x:v>5166799412</x:v>
      </x:c>
      <x:c r="D20" s="13" t="str">
        <x:v>Event rows</x:v>
      </x:c>
      <x:c r="E20" s="13" t="str">
        <x:v>All market-basket rows</x:v>
      </x:c>
      <x:c r="F20" s="2"/>
      <x:c r="G20" s="2"/>
      <x:c r="H20" s="2"/>
    </x:row>
    <x:row r="21" ht="33" customHeight="1">
      <x:c r="A21" s="2"/>
      <x:c r="B21" s="13" t="str">
        <x:v>Patients</x:v>
      </x:c>
      <x:c r="C21" s="22" t="n">
        <x:v>143445550</x:v>
      </x:c>
      <x:c r="D21" s="13" t="str">
        <x:v>Patients</x:v>
      </x:c>
      <x:c r="E21" s="13" t="str">
        <x:v>Market-basket population</x:v>
      </x:c>
      <x:c r="F21" s="2"/>
      <x:c r="G21" s="2"/>
      <x:c r="H21" s="2"/>
    </x:row>
    <x:row r="22" ht="33" customHeight="1">
      <x:c r="A22" s="2"/>
      <x:c r="B22" s="13" t="str">
        <x:v>Generic rows</x:v>
      </x:c>
      <x:c r="C22" s="22" t="n">
        <x:v>4842227660</x:v>
      </x:c>
      <x:c r="D22" s="13" t="str">
        <x:v>Event rows</x:v>
      </x:c>
      <x:c r="E22" s="13" t="str">
        <x:v>IS_GENERIC = TRUE</x:v>
      </x:c>
      <x:c r="F22" s="2"/>
      <x:c r="G22" s="2"/>
      <x:c r="H22" s="2"/>
    </x:row>
    <x:row r="23" ht="33" customHeight="1">
      <x:c r="A23" s="2"/>
      <x:c r="B23" s="13" t="str">
        <x:v>Advanced rows</x:v>
      </x:c>
      <x:c r="C23" s="22" t="n">
        <x:v>324571752</x:v>
      </x:c>
      <x:c r="D23" s="13" t="str">
        <x:v>Event rows</x:v>
      </x:c>
      <x:c r="E23" s="13" t="str">
        <x:v>IS_GENERIC = FALSE</x:v>
      </x:c>
      <x:c r="F23" s="2"/>
      <x:c r="G23" s="2"/>
      <x:c r="H23" s="2"/>
    </x:row>
    <x:row r="24" ht="23" customHeight="1">
      <x:c r="A24" s="2"/>
      <x:c r="B24" s="2"/>
      <x:c r="C24" s="2"/>
      <x:c r="D24" s="2"/>
      <x:c r="E24" s="2"/>
      <x:c r="F24" s="2"/>
      <x:c r="G24" s="2"/>
      <x:c r="H24" s="2"/>
    </x:row>
    <x:row r="25" ht="23" customHeight="1">
      <x:c r="A25" s="2"/>
      <x:c r="B25" s="2"/>
      <x:c r="C25" s="2"/>
      <x:c r="D25" s="2"/>
      <x:c r="E25" s="2"/>
      <x:c r="F25" s="2"/>
      <x:c r="G25" s="2"/>
      <x:c r="H25" s="2"/>
    </x:row>
    <x:row r="26" ht="38" customHeight="1">
      <x:c r="A26" s="2"/>
      <x:c r="B26" s="16" t="str">
        <x:v>Patient-count chart input</x:v>
      </x:c>
      <x:c r="C26" s="16" t="str">
        <x:v>Patients</x:v>
      </x:c>
      <x:c r="D26" s="2"/>
      <x:c r="E26" s="2"/>
      <x:c r="F26" s="2"/>
      <x:c r="G26" s="2"/>
      <x:c r="H26" s="2"/>
    </x:row>
    <x:row r="27" ht="30" customHeight="1">
      <x:c r="A27" s="2"/>
      <x:c r="B27" s="13" t="str">
        <x:v>NT1 claims</x:v>
      </x:c>
      <x:c r="C27" s="22" t="n">
        <x:f>C10</x:f>
        <x:v>176552</x:v>
      </x:c>
      <x:c r="D27" s="2"/>
      <x:c r="E27" s="2"/>
      <x:c r="F27" s="2"/>
      <x:c r="G27" s="2"/>
      <x:c r="H27" s="2"/>
    </x:row>
    <x:row r="28" ht="30" customHeight="1">
      <x:c r="A28" s="2"/>
      <x:c r="B28" s="13" t="str">
        <x:v>Confirmed NT1</x:v>
      </x:c>
      <x:c r="C28" s="22" t="n">
        <x:f>C11</x:f>
        <x:v>85585</x:v>
      </x:c>
      <x:c r="D28" s="2"/>
      <x:c r="E28" s="2"/>
      <x:c r="F28" s="2"/>
      <x:c r="G28" s="2"/>
      <x:c r="H28" s="2"/>
    </x:row>
    <x:row r="29" ht="23" customHeight="1">
      <x:c r="A29" s="2"/>
      <x:c r="B29" s="2"/>
      <x:c r="C29" s="2"/>
      <x:c r="D29" s="2"/>
      <x:c r="E29" s="2"/>
      <x:c r="F29" s="2"/>
      <x:c r="G29" s="2"/>
      <x:c r="H29" s="2"/>
    </x:row>
    <x:row r="30" ht="23" customHeight="1">
      <x:c r="A30" s="2"/>
      <x:c r="B30" s="2"/>
      <x:c r="C30" s="2"/>
      <x:c r="D30" s="2"/>
      <x:c r="E30" s="2"/>
      <x:c r="F30" s="2"/>
      <x:c r="G30" s="2"/>
      <x:c r="H30" s="2"/>
    </x:row>
    <x:row r="31" ht="23" customHeight="1">
      <x:c r="A31" s="2"/>
      <x:c r="B31" s="2"/>
      <x:c r="C31" s="2"/>
      <x:c r="D31" s="2"/>
      <x:c r="E31" s="2"/>
      <x:c r="F31" s="2"/>
      <x:c r="G31" s="2"/>
      <x:c r="H31" s="2"/>
    </x:row>
    <x:row r="32" ht="23" customHeight="1">
      <x:c r="A32" s="2"/>
      <x:c r="B32" s="2"/>
      <x:c r="C32" s="2"/>
      <x:c r="D32" s="2"/>
      <x:c r="E32" s="2"/>
      <x:c r="F32" s="2"/>
      <x:c r="G32" s="2"/>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23" customHeight="1">
      <x:c r="A39" s="2"/>
      <x:c r="B39" s="2"/>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row r="43" ht="23" customHeight="1">
      <x:c r="A43" s="2"/>
      <x:c r="B43" s="2"/>
      <x:c r="C43" s="2"/>
      <x:c r="D43" s="2"/>
      <x:c r="E43" s="2"/>
      <x:c r="F43" s="2"/>
      <x:c r="G43" s="2"/>
      <x:c r="H43" s="2"/>
    </x:row>
    <x:row r="44" ht="38" customHeight="1">
      <x:c r="A44" s="2"/>
      <x:c r="B44" s="12" t="str">
        <x:v>Available-stage bar visual: event rows and historical advanced exposure are excluded to avoid mixing grains or implying eligibility attrition.</x:v>
      </x:c>
      <x:c r="C44" s="12" t="str">
        <x:v>Available-stage bar visual: event rows and historical advanced exposure are excluded to avoid mixing grains or implying eligibility attrition.</x:v>
      </x:c>
      <x:c r="D44" s="12" t="str">
        <x:v>Available-stage bar visual: event rows and historical advanced exposure are excluded to avoid mixing grains or implying eligibility attrition.</x:v>
      </x:c>
      <x:c r="E44" s="12" t="str">
        <x:v>Available-stage bar visual: event rows and historical advanced exposure are excluded to avoid mixing grains or implying eligibility attrition.</x:v>
      </x:c>
      <x:c r="F44" s="12" t="str">
        <x:v>Available-stage bar visual: event rows and historical advanced exposure are excluded to avoid mixing grains or implying eligibility attrition.</x:v>
      </x:c>
      <x:c r="G44" s="12" t="str">
        <x:v>Available-stage bar visual: event rows and historical advanced exposure are excluded to avoid mixing grains or implying eligibility attrition.</x:v>
      </x:c>
      <x:c r="H44" s="2"/>
    </x:row>
    <x:row r="45" ht="23" customHeight="1">
      <x:c r="A45" s="2"/>
      <x:c r="B45" s="2"/>
      <x:c r="C45" s="2"/>
      <x:c r="D45" s="2"/>
      <x:c r="E45" s="2"/>
      <x:c r="F45" s="2"/>
      <x:c r="G45" s="2"/>
      <x:c r="H45" s="2"/>
    </x:row>
    <x:row r="46" ht="23" customHeight="1">
      <x:c r="A46" s="2"/>
      <x:c r="B46" s="12" t="str">
        <x:v>Market-basket row reconciliation (expected 0)</x:v>
      </x:c>
      <x:c r="C46" s="12" t="str">
        <x:v>Market-basket row reconciliation (expected 0)</x:v>
      </x:c>
      <x:c r="D46" s="12" t="str">
        <x:v>Market-basket row reconciliation (expected 0)</x:v>
      </x:c>
      <x:c r="E46" s="24" t="n">
        <x:f>C20-C22-C23</x:f>
        <x:v>0</x:v>
      </x:c>
      <x:c r="F46" s="2"/>
      <x:c r="G46" s="2"/>
      <x:c r="H46" s="2"/>
    </x:row>
    <x:row r="47" ht="23" customHeight="1">
      <x:c r="A47" s="2"/>
      <x:c r="B47" s="2"/>
      <x:c r="C47" s="2"/>
      <x:c r="D47" s="2"/>
      <x:c r="E47" s="2"/>
      <x:c r="F47" s="2"/>
      <x:c r="G47" s="2"/>
      <x:c r="H47" s="2"/>
    </x:row>
    <x:row r="48" ht="23" customHeight="1">
      <x:c r="A48" s="2"/>
      <x:c r="B48" s="2"/>
      <x:c r="C48" s="2"/>
      <x:c r="D48" s="2"/>
      <x:c r="E48" s="2"/>
      <x:c r="F48" s="2"/>
      <x:c r="G48" s="2"/>
      <x:c r="H48" s="2"/>
    </x:row>
    <x:row r="49" ht="23" customHeight="1">
      <x:c r="A49" s="2"/>
      <x:c r="B49" s="2"/>
      <x:c r="C49" s="2"/>
      <x:c r="D49" s="2"/>
      <x:c r="E49" s="2"/>
      <x:c r="F49" s="2"/>
      <x:c r="G49" s="2"/>
      <x:c r="H49" s="2"/>
    </x:row>
  </x:sheetData>
  <x:mergeCells>
    <x:mergeCell ref="B2:G2"/>
    <x:mergeCell ref="B5:G5"/>
    <x:mergeCell ref="B16:G16"/>
    <x:mergeCell ref="B17:G17"/>
    <x:mergeCell ref="B44:G44"/>
    <x:mergeCell ref="B46:D46"/>
  </x:mergeCells>
  <x:pageMargins left="0.7" right="0.7" top="0.75" bottom="0.75" header="0.3" footer="0.3"/>
  <x:drawing xmlns:r="http://schemas.openxmlformats.org/officeDocument/2006/relationships" r:id="R19d290280b254589"/>
  <x:tableParts count="3">
    <x:tablePart xmlns:r="http://schemas.openxmlformats.org/officeDocument/2006/relationships" r:id="Re78f1cea5d7045bc"/>
    <x:tablePart xmlns:r="http://schemas.openxmlformats.org/officeDocument/2006/relationships" r:id="Re0dd0151bfe641e9"/>
    <x:tablePart xmlns:r="http://schemas.openxmlformats.org/officeDocument/2006/relationships" r:id="R282f6ee975c046ec"/>
  </x:tableParts>
</x:worksheet>
</file>

<file path=xl/worksheets/sheet4.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43.75" hidden="0" customWidth="1"/>
    <x:col min="3" max="3" width="15.630000114440918" hidden="0" customWidth="1"/>
    <x:col min="4" max="4" width="15.630000114440918" hidden="0" customWidth="1"/>
    <x:col min="5" max="5" width="16.8799991607666" hidden="0" customWidth="1"/>
    <x:col min="6" max="6" width="13.75" hidden="0" customWidth="1"/>
    <x:col min="7" max="7" width="30" hidden="0" customWidth="1"/>
    <x:col min="8" max="8" width="3" hidden="0" customWidth="1"/>
  </x:cols>
  <x:sheetData>
    <x:row r="1" ht="23" customHeight="1">
      <x:c r="A1" s="2"/>
      <x:c r="B1" s="2"/>
      <x:c r="C1" s="2"/>
      <x:c r="D1" s="2"/>
      <x:c r="E1" s="2"/>
      <x:c r="F1" s="2"/>
      <x:c r="G1" s="2"/>
      <x:c r="H1" s="2"/>
    </x:row>
    <x:row r="2" ht="32" customHeight="1">
      <x:c r="A2" s="2"/>
      <x:c r="B2" s="4" t="str">
        <x:v>Therapy Sequence</x:v>
      </x:c>
      <x:c r="C2" s="4" t="str">
        <x:v>Therapy Sequence</x:v>
      </x:c>
      <x:c r="D2" s="4" t="str">
        <x:v>Therapy Sequence</x:v>
      </x:c>
      <x:c r="E2" s="4" t="str">
        <x:v>Therapy Sequence</x:v>
      </x:c>
      <x:c r="F2" s="4" t="str">
        <x:v>Therapy Sequence</x:v>
      </x:c>
      <x:c r="G2" s="4" t="str">
        <x:v>Therapy Sequence</x:v>
      </x:c>
      <x:c r="H2" s="2"/>
    </x:row>
    <x:row r="3" ht="23" customHeight="1">
      <x:c r="A3" s="2"/>
      <x:c r="B3" s="5"/>
      <x:c r="C3" s="5"/>
      <x:c r="D3" s="5"/>
      <x:c r="E3" s="5"/>
      <x:c r="F3" s="5"/>
      <x:c r="G3" s="5"/>
      <x:c r="H3" s="2"/>
    </x:row>
    <x:row r="4" ht="23" customHeight="1">
      <x:c r="A4" s="2"/>
      <x:c r="B4" s="26" t="str">
        <x:v>STRONG SIGNAL</x:v>
      </x:c>
      <x:c r="C4" s="26" t="str">
        <x:v>STRONG SIGNAL</x:v>
      </x:c>
      <x:c r="D4" s="26" t="str">
        <x:v>STRONG SIGNAL</x:v>
      </x:c>
      <x:c r="E4" s="26" t="str">
        <x:v>STRONG SIGNAL</x:v>
      </x:c>
      <x:c r="F4" s="26" t="str">
        <x:v>STRONG SIGNAL</x:v>
      </x:c>
      <x:c r="G4" s="26" t="str">
        <x:v>STRONG SIGNAL</x:v>
      </x:c>
      <x:c r="H4" s="2"/>
    </x:row>
    <x:row r="5" ht="23" customHeight="1">
      <x:c r="A5" s="2"/>
      <x:c r="B5" s="12" t="str">
        <x:v>Source: supplied NT1 trend-analysis brief. Aggregates have not been rerun against warehouse data.</x:v>
      </x:c>
      <x:c r="C5" s="12" t="str">
        <x:v>Source: supplied NT1 trend-analysis brief. Aggregates have not been rerun against warehouse data.</x:v>
      </x:c>
      <x:c r="D5" s="12" t="str">
        <x:v>Source: supplied NT1 trend-analysis brief. Aggregates have not been rerun against warehouse data.</x:v>
      </x:c>
      <x:c r="E5" s="12" t="str">
        <x:v>Source: supplied NT1 trend-analysis brief. Aggregates have not been rerun against warehouse data.</x:v>
      </x:c>
      <x:c r="F5" s="12" t="str">
        <x:v>Source: supplied NT1 trend-analysis brief. Aggregates have not been rerun against warehouse data.</x:v>
      </x:c>
      <x:c r="G5" s="12" t="str">
        <x:v>Source: supplied NT1 trend-analysis brief. Aggregates have not been rerun against warehouse data.</x:v>
      </x:c>
      <x:c r="H5" s="2"/>
    </x:row>
    <x:row r="6" ht="32" customHeight="1">
      <x:c r="A6" s="2"/>
      <x:c r="B6" s="12" t="str">
        <x:v>RESP 0: no initiation in the next 90 days with required observation. RESP 1: first advanced-therapy initiation in that window.</x:v>
      </x:c>
      <x:c r="C6" s="12" t="str">
        <x:v>RESP 0: no initiation in the next 90 days with required observation. RESP 1: first advanced-therapy initiation in that window.</x:v>
      </x:c>
      <x:c r="D6" s="12" t="str">
        <x:v>RESP 0: no initiation in the next 90 days with required observation. RESP 1: first advanced-therapy initiation in that window.</x:v>
      </x:c>
      <x:c r="E6" s="12" t="str">
        <x:v>RESP 0: no initiation in the next 90 days with required observation. RESP 1: first advanced-therapy initiation in that window.</x:v>
      </x:c>
      <x:c r="F6" s="12" t="str">
        <x:v>RESP 0: no initiation in the next 90 days with required observation. RESP 1: first advanced-therapy initiation in that window.</x:v>
      </x:c>
      <x:c r="G6" s="12" t="str">
        <x:v>RESP 0: no initiation in the next 90 days with required observation. RESP 1: first advanced-therapy initiation in that window.</x:v>
      </x:c>
      <x:c r="H6" s="2"/>
    </x:row>
    <x:row r="7" ht="23" customHeight="1">
      <x:c r="A7" s="2"/>
      <x:c r="B7" s="2"/>
      <x:c r="C7" s="2"/>
      <x:c r="D7" s="2"/>
      <x:c r="E7" s="2"/>
      <x:c r="F7" s="2"/>
      <x:c r="G7" s="2"/>
      <x:c r="H7" s="2"/>
    </x:row>
    <x:row r="8" ht="38" customHeight="1">
      <x:c r="A8" s="2"/>
      <x:c r="B8" s="16" t="str">
        <x:v>Metric</x:v>
      </x:c>
      <x:c r="C8" s="16" t="str">
        <x:v>RESP 0</x:v>
      </x:c>
      <x:c r="D8" s="16" t="str">
        <x:v>RESP 1</x:v>
      </x:c>
      <x:c r="E8" s="16" t="str">
        <x:v>Difference</x:v>
      </x:c>
      <x:c r="F8" s="16" t="str">
        <x:v>Unit</x:v>
      </x:c>
      <x:c r="G8" s="16" t="str">
        <x:v>Explanation</x:v>
      </x:c>
      <x:c r="H8" s="2"/>
    </x:row>
    <x:row r="9" ht="32" customHeight="1">
      <x:c r="A9" s="2"/>
      <x:c r="B9" s="13" t="str">
        <x:v>SNAPSHOTS</x:v>
      </x:c>
      <x:c r="C9" s="34" t="n">
        <x:v>1282233</x:v>
      </x:c>
      <x:c r="D9" s="34" t="n">
        <x:v>9040</x:v>
      </x:c>
      <x:c r="E9" s="35" t="n">
        <x:f>D9-C9</x:f>
        <x:v>-1273193</x:v>
      </x:c>
      <x:c r="F9" s="13" t="str">
        <x:v>count</x:v>
      </x:c>
      <x:c r="G9" s="13" t="str">
        <x:v>Patient-snapshots</x:v>
      </x:c>
      <x:c r="H9" s="2"/>
    </x:row>
    <x:row r="10" ht="32" customHeight="1">
      <x:c r="A10" s="2"/>
      <x:c r="B10" s="13" t="str">
        <x:v>PATIENTS</x:v>
      </x:c>
      <x:c r="C10" s="34" t="n">
        <x:v>42787</x:v>
      </x:c>
      <x:c r="D10" s="34" t="n">
        <x:v>9040</x:v>
      </x:c>
      <x:c r="E10" s="35" t="n">
        <x:f>D10-C10</x:f>
        <x:v>-33747</x:v>
      </x:c>
      <x:c r="F10" s="13" t="str">
        <x:v>count</x:v>
      </x:c>
      <x:c r="G10" s="13" t="str">
        <x:v>Distinct patients within this analysis</x:v>
      </x:c>
      <x:c r="H10" s="2"/>
    </x:row>
    <x:row r="11" ht="32" customHeight="1">
      <x:c r="A11" s="2"/>
      <x:c r="B11" s="13" t="str">
        <x:v>AVG_DISTINCT_GENERICS_270D</x:v>
      </x:c>
      <x:c r="C11" s="36" t="n">
        <x:v>1.85</x:v>
      </x:c>
      <x:c r="D11" s="36" t="n">
        <x:v>2.23</x:v>
      </x:c>
      <x:c r="E11" s="37" t="n">
        <x:f>D11-C11</x:f>
        <x:v>0.3799999999999999</x:v>
      </x:c>
      <x:c r="F11" s="13" t="str">
        <x:v>source units</x:v>
      </x:c>
      <x:c r="G11" s="13" t="str">
        <x:v>Average distinct generics</x:v>
      </x:c>
      <x:c r="H11" s="2"/>
    </x:row>
    <x:row r="12" ht="32" customHeight="1">
      <x:c r="A12" s="2"/>
      <x:c r="B12" s="13" t="str">
        <x:v>AVG_GENERIC_FILL_DATES_270D</x:v>
      </x:c>
      <x:c r="C12" s="36" t="n">
        <x:v>10.52</x:v>
      </x:c>
      <x:c r="D12" s="36" t="n">
        <x:v>11.85</x:v>
      </x:c>
      <x:c r="E12" s="37" t="n">
        <x:f>D12-C12</x:f>
        <x:v>1.33</x:v>
      </x:c>
      <x:c r="F12" s="13" t="str">
        <x:v>source units</x:v>
      </x:c>
      <x:c r="G12" s="13" t="str">
        <x:v>Average distinct fill dates</x:v>
      </x:c>
      <x:c r="H12" s="2"/>
    </x:row>
    <x:row r="13" ht="32" customHeight="1">
      <x:c r="A13" s="2"/>
      <x:c r="B13" s="13" t="str">
        <x:v>AVG_GENERIC_FILL_DATES_90D</x:v>
      </x:c>
      <x:c r="C13" s="36" t="n">
        <x:v>3.46</x:v>
      </x:c>
      <x:c r="D13" s="36" t="n">
        <x:v>4.12</x:v>
      </x:c>
      <x:c r="E13" s="37" t="n">
        <x:f>D13-C13</x:f>
        <x:v>0.6600000000000001</x:v>
      </x:c>
      <x:c r="F13" s="13" t="str">
        <x:v>source units</x:v>
      </x:c>
      <x:c r="G13" s="13" t="str">
        <x:v>Average distinct fill dates</x:v>
      </x:c>
      <x:c r="H13" s="2"/>
    </x:row>
    <x:row r="14" ht="32" customHeight="1">
      <x:c r="A14" s="2"/>
      <x:c r="B14" s="13" t="str">
        <x:v>AVG_GENERIC_FILL_DATES_30D</x:v>
      </x:c>
      <x:c r="C14" s="36" t="n">
        <x:v>1.14</x:v>
      </x:c>
      <x:c r="D14" s="36" t="n">
        <x:v>1.39</x:v>
      </x:c>
      <x:c r="E14" s="37" t="n">
        <x:f>D14-C14</x:f>
        <x:v>0.25</x:v>
      </x:c>
      <x:c r="F14" s="13" t="str">
        <x:v>source units</x:v>
      </x:c>
      <x:c r="G14" s="13" t="str">
        <x:v>Average distinct fill dates</x:v>
      </x:c>
      <x:c r="H14" s="2"/>
    </x:row>
    <x:row r="15" ht="32" customHeight="1">
      <x:c r="A15" s="2"/>
      <x:c r="B15" s="13" t="str">
        <x:v>AVG_THERAPY_CHANGES_270D</x:v>
      </x:c>
      <x:c r="C15" s="36" t="n">
        <x:v>4.38</x:v>
      </x:c>
      <x:c r="D15" s="36" t="n">
        <x:v>5.6</x:v>
      </x:c>
      <x:c r="E15" s="37" t="n">
        <x:f>D15-C15</x:f>
        <x:v>1.2199999999999998</x:v>
      </x:c>
      <x:c r="F15" s="13" t="str">
        <x:v>source units</x:v>
      </x:c>
      <x:c r="G15" s="13" t="str">
        <x:v>Average changes</x:v>
      </x:c>
      <x:c r="H15" s="2"/>
    </x:row>
    <x:row r="16" ht="32" customHeight="1">
      <x:c r="A16" s="2"/>
      <x:c r="B16" s="13" t="str">
        <x:v>AVG_THERAPY_CHANGES_90D</x:v>
      </x:c>
      <x:c r="C16" s="36" t="n">
        <x:v>1.55</x:v>
      </x:c>
      <x:c r="D16" s="36" t="n">
        <x:v>2.14</x:v>
      </x:c>
      <x:c r="E16" s="37" t="n">
        <x:f>D16-C16</x:f>
        <x:v>0.5900000000000001</x:v>
      </x:c>
      <x:c r="F16" s="13" t="str">
        <x:v>source units</x:v>
      </x:c>
      <x:c r="G16" s="13" t="str">
        <x:v>Average changes</x:v>
      </x:c>
      <x:c r="H16" s="2"/>
    </x:row>
    <x:row r="17" ht="32" customHeight="1">
      <x:c r="A17" s="2"/>
      <x:c r="B17" s="13" t="str">
        <x:v>AVG_THERAPY_CHANGES_30D</x:v>
      </x:c>
      <x:c r="C17" s="36" t="n">
        <x:v>0.51</x:v>
      </x:c>
      <x:c r="D17" s="36" t="n">
        <x:v>0.75</x:v>
      </x:c>
      <x:c r="E17" s="37" t="n">
        <x:f>D17-C17</x:f>
        <x:v>0.24</x:v>
      </x:c>
      <x:c r="F17" s="13" t="str">
        <x:v>source units</x:v>
      </x:c>
      <x:c r="G17" s="13" t="str">
        <x:v>Average changes</x:v>
      </x:c>
      <x:c r="H17" s="2"/>
    </x:row>
    <x:row r="18" ht="32" customHeight="1">
      <x:c r="A18" s="2"/>
      <x:c r="B18" s="13" t="str">
        <x:v>PCT_CHANGE_LAST_30D</x:v>
      </x:c>
      <x:c r="C18" s="38" t="n">
        <x:v>0.313</x:v>
      </x:c>
      <x:c r="D18" s="38" t="n">
        <x:v>0.432</x:v>
      </x:c>
      <x:c r="E18" s="39" t="n">
        <x:f>(D18-C18)*100</x:f>
        <x:v>11.899999999999999</x:v>
      </x:c>
      <x:c r="F18" s="13" t="str">
        <x:v>pp</x:v>
      </x:c>
      <x:c r="G18" s="13" t="str">
        <x:v>Share with a recent change</x:v>
      </x:c>
      <x:c r="H18" s="2"/>
    </x:row>
    <x:row r="19" ht="32" customHeight="1">
      <x:c r="A19" s="2"/>
      <x:c r="B19" s="13" t="str">
        <x:v>PCT_CHANGE_LAST_90D</x:v>
      </x:c>
      <x:c r="C19" s="38" t="n">
        <x:v>0.474</x:v>
      </x:c>
      <x:c r="D19" s="38" t="n">
        <x:v>0.606</x:v>
      </x:c>
      <x:c r="E19" s="39" t="n">
        <x:f>(D19-C19)*100</x:f>
        <x:v>13.200000000000001</x:v>
      </x:c>
      <x:c r="F19" s="13" t="str">
        <x:v>pp</x:v>
      </x:c>
      <x:c r="G19" s="13" t="str">
        <x:v>Share with a recent change</x:v>
      </x:c>
      <x:c r="H19" s="2"/>
    </x:row>
    <x:row r="20" ht="32" customHeight="1">
      <x:c r="A20" s="2"/>
      <x:c r="B20" s="13" t="str">
        <x:v>MEDIAN_DAYS_SINCE_LAST_GENERIC_FILL</x:v>
      </x:c>
      <x:c r="C20" s="40" t="n">
        <x:v>18</x:v>
      </x:c>
      <x:c r="D20" s="40" t="n">
        <x:v>15</x:v>
      </x:c>
      <x:c r="E20" s="35" t="n">
        <x:f>D20-C20</x:f>
        <x:v>-3</x:v>
      </x:c>
      <x:c r="F20" s="13" t="str">
        <x:v>days</x:v>
      </x:c>
      <x:c r="G20" s="13" t="str">
        <x:v>Median days</x:v>
      </x:c>
      <x:c r="H20" s="2"/>
    </x:row>
    <x:row r="21" ht="32" customHeight="1">
      <x:c r="A21" s="2"/>
      <x:c r="B21" s="13" t="str">
        <x:v>AVG_DAYS_COVERED_270D</x:v>
      </x:c>
      <x:c r="C21" s="41" t="n">
        <x:v>239.9</x:v>
      </x:c>
      <x:c r="D21" s="41" t="n">
        <x:v>234.4</x:v>
      </x:c>
      <x:c r="E21" s="39" t="n">
        <x:f>D21-C21</x:f>
        <x:v>-5.5</x:v>
      </x:c>
      <x:c r="F21" s="13" t="str">
        <x:v>days</x:v>
      </x:c>
      <x:c r="G21" s="13" t="str">
        <x:v>Average covered days</x:v>
      </x:c>
      <x:c r="H21" s="2"/>
    </x:row>
    <x:row r="22" ht="32" customHeight="1">
      <x:c r="A22" s="2"/>
      <x:c r="B22" s="13" t="str">
        <x:v>MEDIAN_MAX_GAP_DAYS</x:v>
      </x:c>
      <x:c r="C22" s="40" t="n">
        <x:v>8</x:v>
      </x:c>
      <x:c r="D22" s="40" t="n">
        <x:v>10</x:v>
      </x:c>
      <x:c r="E22" s="35" t="n">
        <x:f>D22-C22</x:f>
        <x:v>2</x:v>
      </x:c>
      <x:c r="F22" s="13" t="str">
        <x:v>days</x:v>
      </x:c>
      <x:c r="G22" s="13" t="str">
        <x:v>Median days</x:v>
      </x:c>
      <x:c r="H22" s="2"/>
    </x:row>
    <x:row r="23" ht="23" customHeight="1">
      <x:c r="A23" s="2"/>
      <x:c r="B23" s="2"/>
      <x:c r="C23" s="2"/>
      <x:c r="D23" s="2"/>
      <x:c r="E23" s="2"/>
      <x:c r="F23" s="2"/>
      <x:c r="G23" s="2"/>
      <x:c r="H23" s="2"/>
    </x:row>
    <x:row r="24" ht="30" customHeight="1">
      <x:c r="A24" s="2"/>
      <x:c r="B24" s="12" t="str">
        <x:v>Difference = RESP 1 − RESP 0. Percentage rows use percentage points (pp); other rows use the source unit.</x:v>
      </x:c>
      <x:c r="C24" s="12" t="str">
        <x:v>Difference = RESP 1 − RESP 0. Percentage rows use percentage points (pp); other rows use the source unit.</x:v>
      </x:c>
      <x:c r="D24" s="12" t="str">
        <x:v>Difference = RESP 1 − RESP 0. Percentage rows use percentage points (pp); other rows use the source unit.</x:v>
      </x:c>
      <x:c r="E24" s="12" t="str">
        <x:v>Difference = RESP 1 − RESP 0. Percentage rows use percentage points (pp); other rows use the source unit.</x:v>
      </x:c>
      <x:c r="F24" s="12" t="str">
        <x:v>Difference = RESP 1 − RESP 0. Percentage rows use percentage points (pp); other rows use the source unit.</x:v>
      </x:c>
      <x:c r="G24" s="12" t="str">
        <x:v>Difference = RESP 1 − RESP 0. Percentage rows use percentage points (pp); other rows use the source unit.</x:v>
      </x:c>
      <x:c r="H24" s="2"/>
    </x:row>
    <x:row r="25" ht="23" customHeight="1">
      <x:c r="A25" s="2"/>
      <x:c r="B25" s="2"/>
      <x:c r="C25" s="2"/>
      <x:c r="D25" s="2"/>
      <x:c r="E25" s="2"/>
      <x:c r="F25" s="2"/>
      <x:c r="G25" s="2"/>
      <x:c r="H25" s="2"/>
    </x:row>
    <x:row r="26" ht="23" customHeight="1">
      <x:c r="A26" s="2"/>
      <x:c r="B26" s="8" t="str">
        <x:v>Descriptive finding</x:v>
      </x:c>
      <x:c r="C26" s="8" t="str">
        <x:v>Descriptive finding</x:v>
      </x:c>
      <x:c r="D26" s="8" t="str">
        <x:v>Descriptive finding</x:v>
      </x:c>
      <x:c r="E26" s="8" t="str">
        <x:v>Descriptive finding</x:v>
      </x:c>
      <x:c r="F26" s="8" t="str">
        <x:v>Descriptive finding</x:v>
      </x:c>
      <x:c r="G26" s="8" t="str">
        <x:v>Descriptive finding</x:v>
      </x:c>
      <x:c r="H26" s="2"/>
    </x:row>
    <x:row r="27" ht="44" customHeight="1">
      <x:c r="A27" s="2"/>
      <x:c r="B27" s="10" t="str">
        <x:v>Patients who initiated their first advanced therapy within the next 90 days showed a more dynamic generic-treatment journey: more distinct generics, more therapy changes and more recent treatment activity.</x:v>
      </x:c>
      <x:c r="C27" s="10" t="str">
        <x:v>Patients who initiated their first advanced therapy within the next 90 days showed a more dynamic generic-treatment journey: more distinct generics, more therapy changes and more recent treatment activity.</x:v>
      </x:c>
      <x:c r="D27" s="10" t="str">
        <x:v>Patients who initiated their first advanced therapy within the next 90 days showed a more dynamic generic-treatment journey: more distinct generics, more therapy changes and more recent treatment activity.</x:v>
      </x:c>
      <x:c r="E27" s="10" t="str">
        <x:v>Patients who initiated their first advanced therapy within the next 90 days showed a more dynamic generic-treatment journey: more distinct generics, more therapy changes and more recent treatment activity.</x:v>
      </x:c>
      <x:c r="F27" s="10" t="str">
        <x:v>Patients who initiated their first advanced therapy within the next 90 days showed a more dynamic generic-treatment journey: more distinct generics, more therapy changes and more recent treatment activity.</x:v>
      </x:c>
      <x:c r="G27" s="10" t="str">
        <x:v>Patients who initiated their first advanced therapy within the next 90 days showed a more dynamic generic-treatment journey: more distinct generics, more therapy changes and more recent treatment activity.</x:v>
      </x:c>
      <x:c r="H27" s="2"/>
    </x:row>
    <x:row r="28" ht="23" customHeight="1">
      <x:c r="A28" s="2"/>
      <x:c r="B28" s="2"/>
      <x:c r="C28" s="2"/>
      <x:c r="D28" s="2"/>
      <x:c r="E28" s="2"/>
      <x:c r="F28" s="2"/>
      <x:c r="G28" s="2"/>
      <x:c r="H28" s="2"/>
    </x:row>
    <x:row r="29" ht="23" customHeight="1">
      <x:c r="A29" s="2"/>
      <x:c r="B29" s="8" t="str">
        <x:v>Model implication</x:v>
      </x:c>
      <x:c r="C29" s="8" t="str">
        <x:v>Model implication</x:v>
      </x:c>
      <x:c r="D29" s="8" t="str">
        <x:v>Model implication</x:v>
      </x:c>
      <x:c r="E29" s="8" t="str">
        <x:v>Model implication</x:v>
      </x:c>
      <x:c r="F29" s="8" t="str">
        <x:v>Model implication</x:v>
      </x:c>
      <x:c r="G29" s="8" t="str">
        <x:v>Model implication</x:v>
      </x:c>
      <x:c r="H29" s="2"/>
    </x:row>
    <x:row r="30" ht="44" customHeight="1">
      <x:c r="A30" s="2"/>
      <x:c r="B30" s="10" t="str">
        <x:v>Prioritize treatment diversity, change frequency, recent-change flags and fill recency for baseline augmentation and ablation testing.</x:v>
      </x:c>
      <x:c r="C30" s="10" t="str">
        <x:v>Prioritize treatment diversity, change frequency, recent-change flags and fill recency for baseline augmentation and ablation testing.</x:v>
      </x:c>
      <x:c r="D30" s="10" t="str">
        <x:v>Prioritize treatment diversity, change frequency, recent-change flags and fill recency for baseline augmentation and ablation testing.</x:v>
      </x:c>
      <x:c r="E30" s="10" t="str">
        <x:v>Prioritize treatment diversity, change frequency, recent-change flags and fill recency for baseline augmentation and ablation testing.</x:v>
      </x:c>
      <x:c r="F30" s="10" t="str">
        <x:v>Prioritize treatment diversity, change frequency, recent-change flags and fill recency for baseline augmentation and ablation testing.</x:v>
      </x:c>
      <x:c r="G30" s="10" t="str">
        <x:v>Prioritize treatment diversity, change frequency, recent-change flags and fill recency for baseline augmentation and ablation testing.</x:v>
      </x:c>
      <x:c r="H30" s="2"/>
    </x:row>
    <x:row r="31" ht="23" customHeight="1">
      <x:c r="A31" s="2"/>
      <x:c r="B31" s="2"/>
      <x:c r="C31" s="2"/>
      <x:c r="D31" s="2"/>
      <x:c r="E31" s="2"/>
      <x:c r="F31" s="2"/>
      <x:c r="G31" s="2"/>
      <x:c r="H31" s="2"/>
    </x:row>
    <x:row r="32" ht="44" customHeight="1">
      <x:c r="A32" s="2"/>
      <x:c r="B32" s="12" t="str">
        <x:v>Candidate features: DISTINCT_GENERICS_270D; THERAPY_CHANGES_270D / 90D / 30D; RECENT_THERAPY_CHANGE_30D / 90D; DAYS_SINCE_LAST_GENERIC_FILL</x:v>
      </x:c>
      <x:c r="C32" s="12" t="str">
        <x:v>Candidate features: DISTINCT_GENERICS_270D; THERAPY_CHANGES_270D / 90D / 30D; RECENT_THERAPY_CHANGE_30D / 90D; DAYS_SINCE_LAST_GENERIC_FILL</x:v>
      </x:c>
      <x:c r="D32" s="12" t="str">
        <x:v>Candidate features: DISTINCT_GENERICS_270D; THERAPY_CHANGES_270D / 90D / 30D; RECENT_THERAPY_CHANGE_30D / 90D; DAYS_SINCE_LAST_GENERIC_FILL</x:v>
      </x:c>
      <x:c r="E32" s="12" t="str">
        <x:v>Candidate features: DISTINCT_GENERICS_270D; THERAPY_CHANGES_270D / 90D / 30D; RECENT_THERAPY_CHANGE_30D / 90D; DAYS_SINCE_LAST_GENERIC_FILL</x:v>
      </x:c>
      <x:c r="F32" s="12" t="str">
        <x:v>Candidate features: DISTINCT_GENERICS_270D; THERAPY_CHANGES_270D / 90D / 30D; RECENT_THERAPY_CHANGE_30D / 90D; DAYS_SINCE_LAST_GENERIC_FILL</x:v>
      </x:c>
      <x:c r="G32" s="12" t="str">
        <x:v>Candidate features: DISTINCT_GENERICS_270D; THERAPY_CHANGES_270D / 90D / 30D; RECENT_THERAPY_CHANGE_30D / 90D; DAYS_SINCE_LAST_GENERIC_FILL</x:v>
      </x:c>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23" customHeight="1">
      <x:c r="A39" s="2"/>
      <x:c r="B39" s="2"/>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row r="43" ht="23" customHeight="1">
      <x:c r="A43" s="2"/>
      <x:c r="B43" s="2"/>
      <x:c r="C43" s="2"/>
      <x:c r="D43" s="2"/>
      <x:c r="E43" s="2"/>
      <x:c r="F43" s="2"/>
      <x:c r="G43" s="2"/>
      <x:c r="H43" s="2"/>
    </x:row>
    <x:row r="44" ht="23" customHeight="1">
      <x:c r="A44" s="2"/>
      <x:c r="B44" s="2"/>
      <x:c r="C44" s="2"/>
      <x:c r="D44" s="2"/>
      <x:c r="E44" s="2"/>
      <x:c r="F44" s="2"/>
      <x:c r="G44" s="2"/>
      <x:c r="H44" s="2"/>
    </x:row>
    <x:row r="45" ht="23" customHeight="1">
      <x:c r="A45" s="2"/>
      <x:c r="B45" s="2"/>
      <x:c r="C45" s="2"/>
      <x:c r="D45" s="2"/>
      <x:c r="E45" s="2"/>
      <x:c r="F45" s="2"/>
      <x:c r="G45" s="2"/>
      <x:c r="H45" s="2"/>
    </x:row>
    <x:row r="46" ht="23" customHeight="1">
      <x:c r="A46" s="2"/>
      <x:c r="B46" s="2"/>
      <x:c r="C46" s="2"/>
      <x:c r="D46" s="2"/>
      <x:c r="E46" s="2"/>
      <x:c r="F46" s="2"/>
      <x:c r="G46" s="2"/>
      <x:c r="H46" s="2"/>
    </x:row>
    <x:row r="47" ht="23" customHeight="1">
      <x:c r="A47" s="2"/>
      <x:c r="B47" s="2"/>
      <x:c r="C47" s="2"/>
      <x:c r="D47" s="2"/>
      <x:c r="E47" s="2"/>
      <x:c r="F47" s="2"/>
      <x:c r="G47" s="2"/>
      <x:c r="H47" s="2"/>
    </x:row>
    <x:row r="48" ht="23" customHeight="1">
      <x:c r="A48" s="2"/>
      <x:c r="B48" s="2"/>
      <x:c r="C48" s="2"/>
      <x:c r="D48" s="2"/>
      <x:c r="E48" s="2"/>
      <x:c r="F48" s="2"/>
      <x:c r="G48" s="2"/>
      <x:c r="H48" s="2"/>
    </x:row>
    <x:row r="49" ht="23" customHeight="1">
      <x:c r="A49" s="2"/>
      <x:c r="B49" s="2"/>
      <x:c r="C49" s="2"/>
      <x:c r="D49" s="2"/>
      <x:c r="E49" s="2"/>
      <x:c r="F49" s="2"/>
      <x:c r="G49" s="2"/>
      <x:c r="H49" s="2"/>
    </x:row>
    <x:row r="50" ht="23" customHeight="1">
      <x:c r="A50" s="2"/>
      <x:c r="B50" s="2"/>
      <x:c r="C50" s="2"/>
      <x:c r="D50" s="2"/>
      <x:c r="E50" s="2"/>
      <x:c r="F50" s="2"/>
      <x:c r="G50" s="2"/>
      <x:c r="H50" s="2"/>
    </x:row>
    <x:row r="51" ht="23" customHeight="1">
      <x:c r="A51" s="2"/>
      <x:c r="B51" s="2"/>
      <x:c r="C51" s="2"/>
      <x:c r="D51" s="2"/>
      <x:c r="E51" s="2"/>
      <x:c r="F51" s="2"/>
      <x:c r="G51" s="2"/>
      <x:c r="H51" s="2"/>
    </x:row>
    <x:row r="52" ht="23" customHeight="1">
      <x:c r="A52" s="2"/>
      <x:c r="B52" s="2"/>
      <x:c r="C52" s="2"/>
      <x:c r="D52" s="2"/>
      <x:c r="E52" s="2"/>
      <x:c r="F52" s="2"/>
      <x:c r="G52" s="2"/>
      <x:c r="H52" s="2"/>
    </x:row>
    <x:row r="53" ht="23" customHeight="1">
      <x:c r="A53" s="2"/>
      <x:c r="B53" s="2"/>
      <x:c r="C53" s="2"/>
      <x:c r="D53" s="2"/>
      <x:c r="E53" s="2"/>
      <x:c r="F53" s="2"/>
      <x:c r="G53" s="2"/>
      <x:c r="H53" s="2"/>
    </x:row>
    <x:row r="54" ht="23" customHeight="1">
      <x:c r="A54" s="2"/>
      <x:c r="B54" s="2"/>
      <x:c r="C54" s="2"/>
      <x:c r="D54" s="2"/>
      <x:c r="E54" s="2"/>
      <x:c r="F54" s="2"/>
      <x:c r="G54" s="2"/>
      <x:c r="H54" s="2"/>
    </x:row>
    <x:row r="55" ht="23" customHeight="1">
      <x:c r="A55" s="2"/>
      <x:c r="B55" s="2"/>
      <x:c r="C55" s="2"/>
      <x:c r="D55" s="2"/>
      <x:c r="E55" s="2"/>
      <x:c r="F55" s="2"/>
      <x:c r="G55" s="2"/>
      <x:c r="H55" s="2"/>
    </x:row>
    <x:row r="56" ht="23" customHeight="1">
      <x:c r="A56" s="2"/>
      <x:c r="B56" s="2"/>
      <x:c r="C56" s="2"/>
      <x:c r="D56" s="2"/>
      <x:c r="E56" s="2"/>
      <x:c r="F56" s="2"/>
      <x:c r="G56" s="2"/>
      <x:c r="H56" s="2"/>
    </x:row>
    <x:row r="57" ht="23" customHeight="1">
      <x:c r="A57" s="2"/>
      <x:c r="B57" s="2"/>
      <x:c r="C57" s="2"/>
      <x:c r="D57" s="2"/>
      <x:c r="E57" s="2"/>
      <x:c r="F57" s="2"/>
      <x:c r="G57" s="2"/>
      <x:c r="H57" s="2"/>
    </x:row>
    <x:row r="58" ht="23" customHeight="1">
      <x:c r="A58" s="2"/>
      <x:c r="B58" s="2"/>
      <x:c r="C58" s="2"/>
      <x:c r="D58" s="2"/>
      <x:c r="E58" s="2"/>
      <x:c r="F58" s="2"/>
      <x:c r="G58" s="2"/>
      <x:c r="H58" s="2"/>
    </x:row>
    <x:row r="59" ht="23" customHeight="1">
      <x:c r="A59" s="2"/>
      <x:c r="B59" s="2"/>
      <x:c r="C59" s="2"/>
      <x:c r="D59" s="2"/>
      <x:c r="E59" s="2"/>
      <x:c r="F59" s="2"/>
      <x:c r="G59" s="2"/>
      <x:c r="H59" s="2"/>
    </x:row>
    <x:row r="60" ht="23" customHeight="1">
      <x:c r="A60" s="2"/>
      <x:c r="B60" s="2"/>
      <x:c r="C60" s="2"/>
      <x:c r="D60" s="2"/>
      <x:c r="E60" s="2"/>
      <x:c r="F60" s="2"/>
      <x:c r="G60" s="2"/>
      <x:c r="H60" s="2"/>
    </x:row>
    <x:row r="61" ht="23" customHeight="1">
      <x:c r="A61" s="2"/>
      <x:c r="B61" s="2"/>
      <x:c r="C61" s="2"/>
      <x:c r="D61" s="2"/>
      <x:c r="E61" s="2"/>
      <x:c r="F61" s="2"/>
      <x:c r="G61" s="2"/>
      <x:c r="H61" s="2"/>
    </x:row>
    <x:row r="62" ht="23" customHeight="1">
      <x:c r="A62" s="2"/>
      <x:c r="B62" s="2"/>
      <x:c r="C62" s="2"/>
      <x:c r="D62" s="2"/>
      <x:c r="E62" s="2"/>
      <x:c r="F62" s="2"/>
      <x:c r="G62" s="2"/>
      <x:c r="H62" s="2"/>
    </x:row>
    <x:row r="63" ht="23" customHeight="1">
      <x:c r="A63" s="2"/>
      <x:c r="B63" s="2"/>
      <x:c r="C63" s="2"/>
      <x:c r="D63" s="2"/>
      <x:c r="E63" s="2"/>
      <x:c r="F63" s="2"/>
      <x:c r="G63" s="2"/>
      <x:c r="H63" s="2"/>
    </x:row>
    <x:row r="64" ht="23" customHeight="1">
      <x:c r="A64" s="2"/>
      <x:c r="B64" s="2"/>
      <x:c r="C64" s="2"/>
      <x:c r="D64" s="2"/>
      <x:c r="E64" s="2"/>
      <x:c r="F64" s="2"/>
      <x:c r="G64" s="2"/>
      <x:c r="H64" s="2"/>
    </x:row>
    <x:row r="65" ht="38" customHeight="1">
      <x:c r="A65" s="2"/>
      <x:c r="B65" s="16" t="str">
        <x:v>Chart input</x:v>
      </x:c>
      <x:c r="C65" s="16" t="str">
        <x:v>RESP 0</x:v>
      </x:c>
      <x:c r="D65" s="16" t="str">
        <x:v>RESP 1</x:v>
      </x:c>
      <x:c r="E65" s="43" t="str">
        <x:v>Recent change</x:v>
      </x:c>
      <x:c r="F65" s="43" t="str">
        <x:v>RESP 0</x:v>
      </x:c>
      <x:c r="G65" s="43" t="str">
        <x:v>RESP 1</x:v>
      </x:c>
      <x:c r="H65" s="2"/>
    </x:row>
    <x:row r="66" ht="26" customHeight="1">
      <x:c r="A66" s="2"/>
      <x:c r="B66" s="13" t="str">
        <x:v>Generics 270D</x:v>
      </x:c>
      <x:c r="C66" s="28" t="n">
        <x:f>C11</x:f>
        <x:v>1.85</x:v>
      </x:c>
      <x:c r="D66" s="28" t="n">
        <x:f>D11</x:f>
        <x:v>2.23</x:v>
      </x:c>
      <x:c r="E66" s="2" t="str">
        <x:v>30D</x:v>
      </x:c>
      <x:c r="F66" s="44" t="n">
        <x:f>C18</x:f>
        <x:v>0.313</x:v>
      </x:c>
      <x:c r="G66" s="44" t="n">
        <x:f>D18</x:f>
        <x:v>0.432</x:v>
      </x:c>
      <x:c r="H66" s="2"/>
    </x:row>
    <x:row r="67" ht="26" customHeight="1">
      <x:c r="A67" s="2"/>
      <x:c r="B67" s="13" t="str">
        <x:v>Changes 270D</x:v>
      </x:c>
      <x:c r="C67" s="28" t="n">
        <x:f>C15</x:f>
        <x:v>4.38</x:v>
      </x:c>
      <x:c r="D67" s="28" t="n">
        <x:f>D15</x:f>
        <x:v>5.6</x:v>
      </x:c>
      <x:c r="E67" s="2" t="str">
        <x:v>90D</x:v>
      </x:c>
      <x:c r="F67" s="44" t="n">
        <x:f>C19</x:f>
        <x:v>0.474</x:v>
      </x:c>
      <x:c r="G67" s="44" t="n">
        <x:f>D19</x:f>
        <x:v>0.606</x:v>
      </x:c>
      <x:c r="H67" s="2"/>
    </x:row>
    <x:row r="68" ht="26" customHeight="1">
      <x:c r="A68" s="2"/>
      <x:c r="B68" s="13" t="str">
        <x:v>Changes 90D</x:v>
      </x:c>
      <x:c r="C68" s="28" t="n">
        <x:f>C16</x:f>
        <x:v>1.55</x:v>
      </x:c>
      <x:c r="D68" s="28" t="n">
        <x:f>D16</x:f>
        <x:v>2.14</x:v>
      </x:c>
      <x:c r="E68" s="2"/>
      <x:c r="F68" s="2"/>
      <x:c r="G68" s="2"/>
      <x:c r="H68" s="2"/>
    </x:row>
    <x:row r="69" ht="26" customHeight="1">
      <x:c r="A69" s="2"/>
      <x:c r="B69" s="13" t="str">
        <x:v>Changes 30D</x:v>
      </x:c>
      <x:c r="C69" s="28" t="n">
        <x:f>C17</x:f>
        <x:v>0.51</x:v>
      </x:c>
      <x:c r="D69" s="28" t="n">
        <x:f>D17</x:f>
        <x:v>0.75</x:v>
      </x:c>
      <x:c r="E69" s="2"/>
      <x:c r="F69" s="2"/>
      <x:c r="G69" s="2"/>
      <x:c r="H69" s="2"/>
    </x:row>
    <x:row r="70" ht="23" customHeight="1">
      <x:c r="A70" s="2"/>
      <x:c r="B70" s="2"/>
      <x:c r="C70" s="2"/>
      <x:c r="D70" s="2"/>
      <x:c r="E70" s="2"/>
      <x:c r="F70" s="2"/>
      <x:c r="G70" s="2"/>
      <x:c r="H70" s="2"/>
    </x:row>
    <x:row r="71" ht="23" customHeight="1">
      <x:c r="A71" s="2"/>
      <x:c r="B71" s="8" t="str">
        <x:v>How to read the numbers</x:v>
      </x:c>
      <x:c r="C71" s="8" t="str">
        <x:v>How to read the numbers</x:v>
      </x:c>
      <x:c r="D71" s="8" t="str">
        <x:v>How to read the numbers</x:v>
      </x:c>
      <x:c r="E71" s="8" t="str">
        <x:v>How to read the numbers</x:v>
      </x:c>
      <x:c r="F71" s="8" t="str">
        <x:v>How to read the numbers</x:v>
      </x:c>
      <x:c r="G71" s="8" t="str">
        <x:v>How to read the numbers</x:v>
      </x:c>
      <x:c r="H71" s="2"/>
    </x:row>
    <x:row r="72" ht="44" customHeight="1">
      <x:c r="A72" s="2"/>
      <x:c r="B72" s="10" t="str">
        <x:v>Distinct generics: 1.85 vs 2.23, a difference of 0.38. Therapy changes over 90 days: 1.55 vs 2.14, a difference of 0.59. Recent 30-day change: 31.3% vs 43.2%, a difference of 11.9 pp.</x:v>
      </x:c>
      <x:c r="C72" s="10" t="str">
        <x:v>Distinct generics: 1.85 vs 2.23, a difference of 0.38. Therapy changes over 90 days: 1.55 vs 2.14, a difference of 0.59. Recent 30-day change: 31.3% vs 43.2%, a difference of 11.9 pp.</x:v>
      </x:c>
      <x:c r="D72" s="10" t="str">
        <x:v>Distinct generics: 1.85 vs 2.23, a difference of 0.38. Therapy changes over 90 days: 1.55 vs 2.14, a difference of 0.59. Recent 30-day change: 31.3% vs 43.2%, a difference of 11.9 pp.</x:v>
      </x:c>
      <x:c r="E72" s="10" t="str">
        <x:v>Distinct generics: 1.85 vs 2.23, a difference of 0.38. Therapy changes over 90 days: 1.55 vs 2.14, a difference of 0.59. Recent 30-day change: 31.3% vs 43.2%, a difference of 11.9 pp.</x:v>
      </x:c>
      <x:c r="F72" s="10" t="str">
        <x:v>Distinct generics: 1.85 vs 2.23, a difference of 0.38. Therapy changes over 90 days: 1.55 vs 2.14, a difference of 0.59. Recent 30-day change: 31.3% vs 43.2%, a difference of 11.9 pp.</x:v>
      </x:c>
      <x:c r="G72" s="10" t="str">
        <x:v>Distinct generics: 1.85 vs 2.23, a difference of 0.38. Therapy changes over 90 days: 1.55 vs 2.14, a difference of 0.59. Recent 30-day change: 31.3% vs 43.2%, a difference of 11.9 pp.</x:v>
      </x:c>
      <x:c r="H72" s="2"/>
    </x:row>
    <x:row r="73" ht="23" customHeight="1">
      <x:c r="A73" s="2"/>
      <x:c r="B73" s="2"/>
      <x:c r="C73" s="2"/>
      <x:c r="D73" s="2"/>
      <x:c r="E73" s="2"/>
      <x:c r="F73" s="2"/>
      <x:c r="G73" s="2"/>
      <x:c r="H73" s="2"/>
    </x:row>
    <x:row r="74" ht="23" customHeight="1">
      <x:c r="A74" s="2"/>
      <x:c r="B74" s="2"/>
      <x:c r="C74" s="2"/>
      <x:c r="D74" s="2"/>
      <x:c r="E74" s="2"/>
      <x:c r="F74" s="2"/>
      <x:c r="G74" s="2"/>
      <x:c r="H74" s="2"/>
    </x:row>
  </x:sheetData>
  <x:mergeCells>
    <x:mergeCell ref="B2:G2"/>
    <x:mergeCell ref="B4:G4"/>
    <x:mergeCell ref="B5:G5"/>
    <x:mergeCell ref="B6:G6"/>
    <x:mergeCell ref="B24:G24"/>
    <x:mergeCell ref="B26:G26"/>
    <x:mergeCell ref="B27:G27"/>
    <x:mergeCell ref="B29:G29"/>
    <x:mergeCell ref="B30:G30"/>
    <x:mergeCell ref="B32:G32"/>
    <x:mergeCell ref="B71:G71"/>
    <x:mergeCell ref="B72:G72"/>
  </x:mergeCells>
  <x:conditionalFormatting sqref="B4:G4">
    <x:cfRule type="containsText" dxfId="10" priority="1" operator="containsText" text="STRONG"/>
    <x:cfRule type="containsText" dxfId="11" priority="2" operator="containsText" text="PROMISING"/>
    <x:cfRule type="containsText" dxfId="12" priority="3" operator="containsText" text="WEAK"/>
    <x:cfRule type="containsText" dxfId="13" priority="4" operator="containsText" text="Needs Validation"/>
    <x:cfRule type="containsText" dxfId="14" priority="5" operator="containsText" text="Missing"/>
  </x:conditionalFormatting>
  <x:pageMargins left="0.7" right="0.7" top="0.75" bottom="0.75" header="0.3" footer="0.3"/>
  <x:drawing xmlns:r="http://schemas.openxmlformats.org/officeDocument/2006/relationships" r:id="Rcdc0f5194ac04f0c"/>
  <x:tableParts count="2">
    <x:tablePart xmlns:r="http://schemas.openxmlformats.org/officeDocument/2006/relationships" r:id="R532762cd99fa4fd7"/>
    <x:tablePart xmlns:r="http://schemas.openxmlformats.org/officeDocument/2006/relationships" r:id="Rd2ed412786034cce"/>
  </x:tableParts>
</x:worksheet>
</file>

<file path=xl/worksheets/sheet5.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43.75" hidden="0" customWidth="1"/>
    <x:col min="3" max="3" width="15.630000114440918" hidden="0" customWidth="1"/>
    <x:col min="4" max="4" width="15.630000114440918" hidden="0" customWidth="1"/>
    <x:col min="5" max="5" width="16.8799991607666" hidden="0" customWidth="1"/>
    <x:col min="6" max="6" width="13.75" hidden="0" customWidth="1"/>
    <x:col min="7" max="7" width="30" hidden="0" customWidth="1"/>
    <x:col min="8" max="8" width="3" hidden="0" customWidth="1"/>
  </x:cols>
  <x:sheetData>
    <x:row r="1" ht="23" customHeight="1">
      <x:c r="A1" s="2"/>
      <x:c r="B1" s="2"/>
      <x:c r="C1" s="2"/>
      <x:c r="D1" s="2"/>
      <x:c r="E1" s="2"/>
      <x:c r="F1" s="2"/>
      <x:c r="G1" s="2"/>
      <x:c r="H1" s="2"/>
    </x:row>
    <x:row r="2" ht="32" customHeight="1">
      <x:c r="A2" s="2"/>
      <x:c r="B2" s="4" t="str">
        <x:v>Medical Utilization</x:v>
      </x:c>
      <x:c r="C2" s="4" t="str">
        <x:v>Medical Utilization</x:v>
      </x:c>
      <x:c r="D2" s="4" t="str">
        <x:v>Medical Utilization</x:v>
      </x:c>
      <x:c r="E2" s="4" t="str">
        <x:v>Medical Utilization</x:v>
      </x:c>
      <x:c r="F2" s="4" t="str">
        <x:v>Medical Utilization</x:v>
      </x:c>
      <x:c r="G2" s="4" t="str">
        <x:v>Medical Utilization</x:v>
      </x:c>
      <x:c r="H2" s="2"/>
    </x:row>
    <x:row r="3" ht="23" customHeight="1">
      <x:c r="A3" s="2"/>
      <x:c r="B3" s="5"/>
      <x:c r="C3" s="5"/>
      <x:c r="D3" s="5"/>
      <x:c r="E3" s="5"/>
      <x:c r="F3" s="5"/>
      <x:c r="G3" s="5"/>
      <x:c r="H3" s="2"/>
    </x:row>
    <x:row r="4" ht="23" customHeight="1">
      <x:c r="A4" s="2"/>
      <x:c r="B4" s="26" t="str">
        <x:v>WEAK / LIMITED SIGNAL</x:v>
      </x:c>
      <x:c r="C4" s="26" t="str">
        <x:v>WEAK / LIMITED SIGNAL</x:v>
      </x:c>
      <x:c r="D4" s="26" t="str">
        <x:v>WEAK / LIMITED SIGNAL</x:v>
      </x:c>
      <x:c r="E4" s="26" t="str">
        <x:v>WEAK / LIMITED SIGNAL</x:v>
      </x:c>
      <x:c r="F4" s="26" t="str">
        <x:v>WEAK / LIMITED SIGNAL</x:v>
      </x:c>
      <x:c r="G4" s="26" t="str">
        <x:v>WEAK / LIMITED SIGNAL</x:v>
      </x:c>
      <x:c r="H4" s="2"/>
    </x:row>
    <x:row r="5" ht="23" customHeight="1">
      <x:c r="A5" s="2"/>
      <x:c r="B5" s="12" t="str">
        <x:v>Source: supplied NT1 trend-analysis brief. Aggregates have not been rerun against warehouse data.</x:v>
      </x:c>
      <x:c r="C5" s="12" t="str">
        <x:v>Source: supplied NT1 trend-analysis brief. Aggregates have not been rerun against warehouse data.</x:v>
      </x:c>
      <x:c r="D5" s="12" t="str">
        <x:v>Source: supplied NT1 trend-analysis brief. Aggregates have not been rerun against warehouse data.</x:v>
      </x:c>
      <x:c r="E5" s="12" t="str">
        <x:v>Source: supplied NT1 trend-analysis brief. Aggregates have not been rerun against warehouse data.</x:v>
      </x:c>
      <x:c r="F5" s="12" t="str">
        <x:v>Source: supplied NT1 trend-analysis brief. Aggregates have not been rerun against warehouse data.</x:v>
      </x:c>
      <x:c r="G5" s="12" t="str">
        <x:v>Source: supplied NT1 trend-analysis brief. Aggregates have not been rerun against warehouse data.</x:v>
      </x:c>
      <x:c r="H5" s="2"/>
    </x:row>
    <x:row r="6" ht="32" customHeight="1">
      <x:c r="A6" s="2"/>
      <x:c r="B6" s="12" t="str">
        <x:v>RESP 0: no initiation in the next 90 days with required observation. RESP 1: first advanced-therapy initiation in that window.</x:v>
      </x:c>
      <x:c r="C6" s="12" t="str">
        <x:v>RESP 0: no initiation in the next 90 days with required observation. RESP 1: first advanced-therapy initiation in that window.</x:v>
      </x:c>
      <x:c r="D6" s="12" t="str">
        <x:v>RESP 0: no initiation in the next 90 days with required observation. RESP 1: first advanced-therapy initiation in that window.</x:v>
      </x:c>
      <x:c r="E6" s="12" t="str">
        <x:v>RESP 0: no initiation in the next 90 days with required observation. RESP 1: first advanced-therapy initiation in that window.</x:v>
      </x:c>
      <x:c r="F6" s="12" t="str">
        <x:v>RESP 0: no initiation in the next 90 days with required observation. RESP 1: first advanced-therapy initiation in that window.</x:v>
      </x:c>
      <x:c r="G6" s="12" t="str">
        <x:v>RESP 0: no initiation in the next 90 days with required observation. RESP 1: first advanced-therapy initiation in that window.</x:v>
      </x:c>
      <x:c r="H6" s="2"/>
    </x:row>
    <x:row r="7" ht="23" customHeight="1">
      <x:c r="A7" s="2"/>
      <x:c r="B7" s="2"/>
      <x:c r="C7" s="2"/>
      <x:c r="D7" s="2"/>
      <x:c r="E7" s="2"/>
      <x:c r="F7" s="2"/>
      <x:c r="G7" s="2"/>
      <x:c r="H7" s="2"/>
    </x:row>
    <x:row r="8" ht="38" customHeight="1">
      <x:c r="A8" s="2"/>
      <x:c r="B8" s="16" t="str">
        <x:v>Metric</x:v>
      </x:c>
      <x:c r="C8" s="16" t="str">
        <x:v>RESP 0</x:v>
      </x:c>
      <x:c r="D8" s="16" t="str">
        <x:v>RESP 1</x:v>
      </x:c>
      <x:c r="E8" s="16" t="str">
        <x:v>Difference</x:v>
      </x:c>
      <x:c r="F8" s="16" t="str">
        <x:v>Unit</x:v>
      </x:c>
      <x:c r="G8" s="16" t="str">
        <x:v>Explanation</x:v>
      </x:c>
      <x:c r="H8" s="2"/>
    </x:row>
    <x:row r="9" ht="32" customHeight="1">
      <x:c r="A9" s="2"/>
      <x:c r="B9" s="13" t="str">
        <x:v>SNAPSHOTS</x:v>
      </x:c>
      <x:c r="C9" s="34" t="n">
        <x:v>1260959</x:v>
      </x:c>
      <x:c r="D9" s="34" t="n">
        <x:v>8747</x:v>
      </x:c>
      <x:c r="E9" s="35" t="n">
        <x:f>D9-C9</x:f>
        <x:v>-1252212</x:v>
      </x:c>
      <x:c r="F9" s="13" t="str">
        <x:v>count</x:v>
      </x:c>
      <x:c r="G9" s="13" t="str">
        <x:v>Patient-snapshots</x:v>
      </x:c>
      <x:c r="H9" s="2"/>
    </x:row>
    <x:row r="10" ht="32" customHeight="1">
      <x:c r="A10" s="2"/>
      <x:c r="B10" s="13" t="str">
        <x:v>PATIENTS</x:v>
      </x:c>
      <x:c r="C10" s="34" t="n">
        <x:v>42500</x:v>
      </x:c>
      <x:c r="D10" s="34" t="n">
        <x:v>8747</x:v>
      </x:c>
      <x:c r="E10" s="35" t="n">
        <x:f>D10-C10</x:f>
        <x:v>-33753</x:v>
      </x:c>
      <x:c r="F10" s="13" t="str">
        <x:v>count</x:v>
      </x:c>
      <x:c r="G10" s="13" t="str">
        <x:v>Distinct patients within this analysis</x:v>
      </x:c>
      <x:c r="H10" s="2"/>
    </x:row>
    <x:row r="11" ht="32" customHeight="1">
      <x:c r="A11" s="2"/>
      <x:c r="B11" s="13" t="str">
        <x:v>AVG_MED_EVENTS_270D</x:v>
      </x:c>
      <x:c r="C11" s="36" t="n">
        <x:v>79.13</x:v>
      </x:c>
      <x:c r="D11" s="36" t="n">
        <x:v>72.54</x:v>
      </x:c>
      <x:c r="E11" s="37" t="n">
        <x:f>D11-C11</x:f>
        <x:v>-6.589999999999989</x:v>
      </x:c>
      <x:c r="F11" s="13" t="str">
        <x:v>source units</x:v>
      </x:c>
      <x:c r="G11" s="13" t="str">
        <x:v>Average event rows</x:v>
      </x:c>
      <x:c r="H11" s="2"/>
    </x:row>
    <x:row r="12" ht="32" customHeight="1">
      <x:c r="A12" s="2"/>
      <x:c r="B12" s="13" t="str">
        <x:v>AVG_MED_EVENTS_90D</x:v>
      </x:c>
      <x:c r="C12" s="36" t="n">
        <x:v>26.63</x:v>
      </x:c>
      <x:c r="D12" s="36" t="n">
        <x:v>24.4</x:v>
      </x:c>
      <x:c r="E12" s="37" t="n">
        <x:f>D12-C12</x:f>
        <x:v>-2.2300000000000004</x:v>
      </x:c>
      <x:c r="F12" s="13" t="str">
        <x:v>source units</x:v>
      </x:c>
      <x:c r="G12" s="13" t="str">
        <x:v>Average event rows</x:v>
      </x:c>
      <x:c r="H12" s="2"/>
    </x:row>
    <x:row r="13" ht="32" customHeight="1">
      <x:c r="A13" s="2"/>
      <x:c r="B13" s="13" t="str">
        <x:v>AVG_MED_EVENTS_30D</x:v>
      </x:c>
      <x:c r="C13" s="36" t="n">
        <x:v>8.91</x:v>
      </x:c>
      <x:c r="D13" s="36" t="n">
        <x:v>8.23</x:v>
      </x:c>
      <x:c r="E13" s="37" t="n">
        <x:f>D13-C13</x:f>
        <x:v>-0.6799999999999997</x:v>
      </x:c>
      <x:c r="F13" s="13" t="str">
        <x:v>source units</x:v>
      </x:c>
      <x:c r="G13" s="13" t="str">
        <x:v>Average event rows</x:v>
      </x:c>
      <x:c r="H13" s="2"/>
    </x:row>
    <x:row r="14" ht="32" customHeight="1">
      <x:c r="A14" s="2"/>
      <x:c r="B14" s="13" t="str">
        <x:v>AVG_MED_ACTIVE_DAYS_270D</x:v>
      </x:c>
      <x:c r="C14" s="36" t="n">
        <x:v>22.49</x:v>
      </x:c>
      <x:c r="D14" s="36" t="n">
        <x:v>21.3</x:v>
      </x:c>
      <x:c r="E14" s="37" t="n">
        <x:f>D14-C14</x:f>
        <x:v>-1.1899999999999977</x:v>
      </x:c>
      <x:c r="F14" s="13" t="str">
        <x:v>source units</x:v>
      </x:c>
      <x:c r="G14" s="13" t="str">
        <x:v>Average days with medical activity</x:v>
      </x:c>
      <x:c r="H14" s="2"/>
    </x:row>
    <x:row r="15" ht="32" customHeight="1">
      <x:c r="A15" s="2"/>
      <x:c r="B15" s="13" t="str">
        <x:v>AVG_MED_ACTIVE_DAYS_90D</x:v>
      </x:c>
      <x:c r="C15" s="36" t="n">
        <x:v>7.57</x:v>
      </x:c>
      <x:c r="D15" s="36" t="n">
        <x:v>7.29</x:v>
      </x:c>
      <x:c r="E15" s="37" t="n">
        <x:f>D15-C15</x:f>
        <x:v>-0.28000000000000025</x:v>
      </x:c>
      <x:c r="F15" s="13" t="str">
        <x:v>source units</x:v>
      </x:c>
      <x:c r="G15" s="13" t="str">
        <x:v>Average days with medical activity</x:v>
      </x:c>
      <x:c r="H15" s="2"/>
    </x:row>
    <x:row r="16" ht="32" customHeight="1">
      <x:c r="A16" s="2"/>
      <x:c r="B16" s="13" t="str">
        <x:v>AVG_MED_ACTIVE_DAYS_30D</x:v>
      </x:c>
      <x:c r="C16" s="36" t="n">
        <x:v>2.53</x:v>
      </x:c>
      <x:c r="D16" s="36" t="n">
        <x:v>2.5</x:v>
      </x:c>
      <x:c r="E16" s="37" t="n">
        <x:f>D16-C16</x:f>
        <x:v>-0.029999999999999805</x:v>
      </x:c>
      <x:c r="F16" s="13" t="str">
        <x:v>source units</x:v>
      </x:c>
      <x:c r="G16" s="13" t="str">
        <x:v>Average days with medical activity</x:v>
      </x:c>
      <x:c r="H16" s="2"/>
    </x:row>
    <x:row r="17" ht="32" customHeight="1">
      <x:c r="A17" s="2"/>
      <x:c r="B17" s="13" t="str">
        <x:v>MEDIAN_DAYS_SINCE_LAST_MED_EVENT</x:v>
      </x:c>
      <x:c r="C17" s="40" t="n">
        <x:v>13</x:v>
      </x:c>
      <x:c r="D17" s="40" t="n">
        <x:v>12</x:v>
      </x:c>
      <x:c r="E17" s="35" t="n">
        <x:f>D17-C17</x:f>
        <x:v>-1</x:v>
      </x:c>
      <x:c r="F17" s="13" t="str">
        <x:v>days</x:v>
      </x:c>
      <x:c r="G17" s="13" t="str">
        <x:v>Median days</x:v>
      </x:c>
      <x:c r="H17" s="2"/>
    </x:row>
    <x:row r="18" ht="32" customHeight="1">
      <x:c r="A18" s="2"/>
      <x:c r="B18" s="13" t="str">
        <x:v>RECENT_30D_ACTIVITY_RATIO</x:v>
      </x:c>
      <x:c r="C18" s="36" t="n">
        <x:v>1.01</x:v>
      </x:c>
      <x:c r="D18" s="36" t="n">
        <x:v>1.02</x:v>
      </x:c>
      <x:c r="E18" s="37" t="n">
        <x:f>D18-C18</x:f>
        <x:v>0.010000000000000009</x:v>
      </x:c>
      <x:c r="F18" s="13" t="str">
        <x:v>source units</x:v>
      </x:c>
      <x:c r="G18" s="13" t="str">
        <x:v>Ratio; source denominator not supplied</x:v>
      </x:c>
      <x:c r="H18" s="2"/>
    </x:row>
    <x:row r="19" ht="23" customHeight="1">
      <x:c r="A19" s="2"/>
      <x:c r="B19" s="2"/>
      <x:c r="C19" s="2"/>
      <x:c r="D19" s="2"/>
      <x:c r="E19" s="2"/>
      <x:c r="F19" s="2"/>
      <x:c r="G19" s="2"/>
      <x:c r="H19" s="2"/>
    </x:row>
    <x:row r="20" ht="30" customHeight="1">
      <x:c r="A20" s="2"/>
      <x:c r="B20" s="12" t="str">
        <x:v>Difference = RESP 1 − RESP 0. Percentage rows use percentage points (pp); other rows use the source unit.</x:v>
      </x:c>
      <x:c r="C20" s="12" t="str">
        <x:v>Difference = RESP 1 − RESP 0. Percentage rows use percentage points (pp); other rows use the source unit.</x:v>
      </x:c>
      <x:c r="D20" s="12" t="str">
        <x:v>Difference = RESP 1 − RESP 0. Percentage rows use percentage points (pp); other rows use the source unit.</x:v>
      </x:c>
      <x:c r="E20" s="12" t="str">
        <x:v>Difference = RESP 1 − RESP 0. Percentage rows use percentage points (pp); other rows use the source unit.</x:v>
      </x:c>
      <x:c r="F20" s="12" t="str">
        <x:v>Difference = RESP 1 − RESP 0. Percentage rows use percentage points (pp); other rows use the source unit.</x:v>
      </x:c>
      <x:c r="G20" s="12" t="str">
        <x:v>Difference = RESP 1 − RESP 0. Percentage rows use percentage points (pp); other rows use the source unit.</x:v>
      </x:c>
      <x:c r="H20" s="2"/>
    </x:row>
    <x:row r="21" ht="23" customHeight="1">
      <x:c r="A21" s="2"/>
      <x:c r="B21" s="2"/>
      <x:c r="C21" s="2"/>
      <x:c r="D21" s="2"/>
      <x:c r="E21" s="2"/>
      <x:c r="F21" s="2"/>
      <x:c r="G21" s="2"/>
      <x:c r="H21" s="2"/>
    </x:row>
    <x:row r="22" ht="23" customHeight="1">
      <x:c r="A22" s="2"/>
      <x:c r="B22" s="8" t="str">
        <x:v>Descriptive finding</x:v>
      </x:c>
      <x:c r="C22" s="8" t="str">
        <x:v>Descriptive finding</x:v>
      </x:c>
      <x:c r="D22" s="8" t="str">
        <x:v>Descriptive finding</x:v>
      </x:c>
      <x:c r="E22" s="8" t="str">
        <x:v>Descriptive finding</x:v>
      </x:c>
      <x:c r="F22" s="8" t="str">
        <x:v>Descriptive finding</x:v>
      </x:c>
      <x:c r="G22" s="8" t="str">
        <x:v>Descriptive finding</x:v>
      </x:c>
      <x:c r="H22" s="2"/>
    </x:row>
    <x:row r="23" ht="44" customHeight="1">
      <x:c r="A23" s="2"/>
      <x:c r="B23" s="10" t="str">
        <x:v>The supplied aggregates show no clear acceleration in overall medical utilization before initiation. Raw utilization volume appears less informative than the type of clinical activity.</x:v>
      </x:c>
      <x:c r="C23" s="10" t="str">
        <x:v>The supplied aggregates show no clear acceleration in overall medical utilization before initiation. Raw utilization volume appears less informative than the type of clinical activity.</x:v>
      </x:c>
      <x:c r="D23" s="10" t="str">
        <x:v>The supplied aggregates show no clear acceleration in overall medical utilization before initiation. Raw utilization volume appears less informative than the type of clinical activity.</x:v>
      </x:c>
      <x:c r="E23" s="10" t="str">
        <x:v>The supplied aggregates show no clear acceleration in overall medical utilization before initiation. Raw utilization volume appears less informative than the type of clinical activity.</x:v>
      </x:c>
      <x:c r="F23" s="10" t="str">
        <x:v>The supplied aggregates show no clear acceleration in overall medical utilization before initiation. Raw utilization volume appears less informative than the type of clinical activity.</x:v>
      </x:c>
      <x:c r="G23" s="10" t="str">
        <x:v>The supplied aggregates show no clear acceleration in overall medical utilization before initiation. Raw utilization volume appears less informative than the type of clinical activity.</x:v>
      </x:c>
      <x:c r="H23" s="2"/>
    </x:row>
    <x:row r="24" ht="23" customHeight="1">
      <x:c r="A24" s="2"/>
      <x:c r="B24" s="2"/>
      <x:c r="C24" s="2"/>
      <x:c r="D24" s="2"/>
      <x:c r="E24" s="2"/>
      <x:c r="F24" s="2"/>
      <x:c r="G24" s="2"/>
      <x:c r="H24" s="2"/>
    </x:row>
    <x:row r="25" ht="23" customHeight="1">
      <x:c r="A25" s="2"/>
      <x:c r="B25" s="8" t="str">
        <x:v>Model implication</x:v>
      </x:c>
      <x:c r="C25" s="8" t="str">
        <x:v>Model implication</x:v>
      </x:c>
      <x:c r="D25" s="8" t="str">
        <x:v>Model implication</x:v>
      </x:c>
      <x:c r="E25" s="8" t="str">
        <x:v>Model implication</x:v>
      </x:c>
      <x:c r="F25" s="8" t="str">
        <x:v>Model implication</x:v>
      </x:c>
      <x:c r="G25" s="8" t="str">
        <x:v>Model implication</x:v>
      </x:c>
      <x:c r="H25" s="2"/>
    </x:row>
    <x:row r="26" ht="44" customHeight="1">
      <x:c r="A26" s="2"/>
      <x:c r="B26" s="10" t="str">
        <x:v>Deprioritize raw volume. Test specific diagnosis/procedure signals. The recent-activity ratio is retained as supplied; its exact definition was not provided.</x:v>
      </x:c>
      <x:c r="C26" s="10" t="str">
        <x:v>Deprioritize raw volume. Test specific diagnosis/procedure signals. The recent-activity ratio is retained as supplied; its exact definition was not provided.</x:v>
      </x:c>
      <x:c r="D26" s="10" t="str">
        <x:v>Deprioritize raw volume. Test specific diagnosis/procedure signals. The recent-activity ratio is retained as supplied; its exact definition was not provided.</x:v>
      </x:c>
      <x:c r="E26" s="10" t="str">
        <x:v>Deprioritize raw volume. Test specific diagnosis/procedure signals. The recent-activity ratio is retained as supplied; its exact definition was not provided.</x:v>
      </x:c>
      <x:c r="F26" s="10" t="str">
        <x:v>Deprioritize raw volume. Test specific diagnosis/procedure signals. The recent-activity ratio is retained as supplied; its exact definition was not provided.</x:v>
      </x:c>
      <x:c r="G26" s="10" t="str">
        <x:v>Deprioritize raw volume. Test specific diagnosis/procedure signals. The recent-activity ratio is retained as supplied; its exact definition was not provided.</x:v>
      </x:c>
      <x:c r="H26" s="2"/>
    </x:row>
    <x:row r="27" ht="23" customHeight="1">
      <x:c r="A27" s="2"/>
      <x:c r="B27" s="2"/>
      <x:c r="C27" s="2"/>
      <x:c r="D27" s="2"/>
      <x:c r="E27" s="2"/>
      <x:c r="F27" s="2"/>
      <x:c r="G27" s="2"/>
      <x:c r="H27" s="2"/>
    </x:row>
    <x:row r="28" ht="23" customHeight="1">
      <x:c r="A28" s="2"/>
      <x:c r="B28" s="2"/>
      <x:c r="C28" s="2"/>
      <x:c r="D28" s="2"/>
      <x:c r="E28" s="2"/>
      <x:c r="F28" s="2"/>
      <x:c r="G28" s="2"/>
      <x:c r="H28" s="2"/>
    </x:row>
    <x:row r="29" ht="23" customHeight="1">
      <x:c r="A29" s="2"/>
      <x:c r="B29" s="2"/>
      <x:c r="C29" s="2"/>
      <x:c r="D29" s="2"/>
      <x:c r="E29" s="2"/>
      <x:c r="F29" s="2"/>
      <x:c r="G29" s="2"/>
      <x:c r="H29" s="2"/>
    </x:row>
    <x:row r="30" ht="23" customHeight="1">
      <x:c r="A30" s="2"/>
      <x:c r="B30" s="8" t="str">
        <x:v>How to read the numbers</x:v>
      </x:c>
      <x:c r="C30" s="8" t="str">
        <x:v>How to read the numbers</x:v>
      </x:c>
      <x:c r="D30" s="8" t="str">
        <x:v>How to read the numbers</x:v>
      </x:c>
      <x:c r="E30" s="8" t="str">
        <x:v>How to read the numbers</x:v>
      </x:c>
      <x:c r="F30" s="8" t="str">
        <x:v>How to read the numbers</x:v>
      </x:c>
      <x:c r="G30" s="8" t="str">
        <x:v>How to read the numbers</x:v>
      </x:c>
      <x:c r="H30" s="2"/>
    </x:row>
    <x:row r="31" ht="44" customHeight="1">
      <x:c r="A31" s="2"/>
      <x:c r="B31" s="10" t="str">
        <x:v>Average 90-day medical events: 26.63 vs 24.40 (−2.23). Active days: 7.57 vs 7.29 (−0.28). The recent 30-day activity ratio is 1.01 vs 1.02. These are aggregate comparisons, not patient-level trajectories.</x:v>
      </x:c>
      <x:c r="C31" s="10" t="str">
        <x:v>Average 90-day medical events: 26.63 vs 24.40 (−2.23). Active days: 7.57 vs 7.29 (−0.28). The recent 30-day activity ratio is 1.01 vs 1.02. These are aggregate comparisons, not patient-level trajectories.</x:v>
      </x:c>
      <x:c r="D31" s="10" t="str">
        <x:v>Average 90-day medical events: 26.63 vs 24.40 (−2.23). Active days: 7.57 vs 7.29 (−0.28). The recent 30-day activity ratio is 1.01 vs 1.02. These are aggregate comparisons, not patient-level trajectories.</x:v>
      </x:c>
      <x:c r="E31" s="10" t="str">
        <x:v>Average 90-day medical events: 26.63 vs 24.40 (−2.23). Active days: 7.57 vs 7.29 (−0.28). The recent 30-day activity ratio is 1.01 vs 1.02. These are aggregate comparisons, not patient-level trajectories.</x:v>
      </x:c>
      <x:c r="F31" s="10" t="str">
        <x:v>Average 90-day medical events: 26.63 vs 24.40 (−2.23). Active days: 7.57 vs 7.29 (−0.28). The recent 30-day activity ratio is 1.01 vs 1.02. These are aggregate comparisons, not patient-level trajectories.</x:v>
      </x:c>
      <x:c r="G31" s="10" t="str">
        <x:v>Average 90-day medical events: 26.63 vs 24.40 (−2.23). Active days: 7.57 vs 7.29 (−0.28). The recent 30-day activity ratio is 1.01 vs 1.02. These are aggregate comparisons, not patient-level trajectories.</x:v>
      </x:c>
      <x:c r="H31" s="2"/>
    </x:row>
    <x:row r="32" ht="23" customHeight="1">
      <x:c r="A32" s="2"/>
      <x:c r="B32" s="2"/>
      <x:c r="C32" s="2"/>
      <x:c r="D32" s="2"/>
      <x:c r="E32" s="2"/>
      <x:c r="F32" s="2"/>
      <x:c r="G32" s="2"/>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sheetData>
  <x:mergeCells>
    <x:mergeCell ref="B2:G2"/>
    <x:mergeCell ref="B4:G4"/>
    <x:mergeCell ref="B5:G5"/>
    <x:mergeCell ref="B6:G6"/>
    <x:mergeCell ref="B20:G20"/>
    <x:mergeCell ref="B22:G22"/>
    <x:mergeCell ref="B23:G23"/>
    <x:mergeCell ref="B25:G25"/>
    <x:mergeCell ref="B26:G26"/>
    <x:mergeCell ref="B30:G30"/>
    <x:mergeCell ref="B31:G31"/>
  </x:mergeCells>
  <x:conditionalFormatting sqref="B4:G4">
    <x:cfRule type="containsText" dxfId="15" priority="1" operator="containsText" text="STRONG"/>
    <x:cfRule type="containsText" dxfId="16" priority="2" operator="containsText" text="PROMISING"/>
    <x:cfRule type="containsText" dxfId="17" priority="3" operator="containsText" text="WEAK"/>
    <x:cfRule type="containsText" dxfId="18" priority="4" operator="containsText" text="Needs Validation"/>
    <x:cfRule type="containsText" dxfId="19" priority="5" operator="containsText" text="Missing"/>
  </x:conditionalFormatting>
  <x:pageMargins left="0.7" right="0.7" top="0.75" bottom="0.75" header="0.3" footer="0.3"/>
  <x:tableParts count="1">
    <x:tablePart xmlns:r="http://schemas.openxmlformats.org/officeDocument/2006/relationships" r:id="R19c39d76f12944bc"/>
  </x:tableParts>
</x:worksheet>
</file>

<file path=xl/worksheets/sheet6.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15.630000114440918" hidden="0" customWidth="1"/>
    <x:col min="3" max="3" width="15.630000114440918" hidden="0" customWidth="1"/>
    <x:col min="4" max="4" width="20.6299991607666" hidden="0" customWidth="1"/>
    <x:col min="5" max="5" width="20.6299991607666" hidden="0" customWidth="1"/>
    <x:col min="6" max="6" width="20.6299991607666" hidden="0" customWidth="1"/>
    <x:col min="7" max="7" width="20.6299991607666" hidden="0" customWidth="1"/>
    <x:col min="8" max="8" width="20.6299991607666" hidden="0" customWidth="1"/>
    <x:col min="9" max="9" width="20.6299991607666" hidden="0" customWidth="1"/>
    <x:col min="10" max="10" width="20.6299991607666" hidden="0" customWidth="1"/>
    <x:col min="11" max="11" width="20.6299991607666" hidden="0" customWidth="1"/>
    <x:col min="12" max="12" width="20.6299991607666" hidden="0" customWidth="1"/>
  </x:cols>
  <x:sheetData>
    <x:row r="1" ht="23" customHeight="1">
      <x:c r="A1" s="2"/>
      <x:c r="B1" s="2"/>
      <x:c r="C1" s="2"/>
      <x:c r="D1" s="2"/>
      <x:c r="E1" s="2"/>
      <x:c r="F1" s="2"/>
      <x:c r="G1" s="2"/>
      <x:c r="H1" s="2"/>
      <x:c r="I1" s="2"/>
      <x:c r="J1" s="2"/>
      <x:c r="K1" s="2"/>
      <x:c r="L1" s="2"/>
    </x:row>
    <x:row r="2" ht="23" customHeight="1">
      <x:c r="A2" s="2"/>
      <x:c r="B2" s="4" t="str">
        <x:v>Diagnosis &amp; Procedure Signals</x:v>
      </x:c>
      <x:c r="C2" s="4" t="str">
        <x:v>Diagnosis &amp; Procedure Signals</x:v>
      </x:c>
      <x:c r="D2" s="4" t="str">
        <x:v>Diagnosis &amp; Procedure Signals</x:v>
      </x:c>
      <x:c r="E2" s="4" t="str">
        <x:v>Diagnosis &amp; Procedure Signals</x:v>
      </x:c>
      <x:c r="F2" s="4" t="str">
        <x:v>Diagnosis &amp; Procedure Signals</x:v>
      </x:c>
      <x:c r="G2" s="4" t="str">
        <x:v>Diagnosis &amp; Procedure Signals</x:v>
      </x:c>
      <x:c r="H2" s="2"/>
      <x:c r="I2" s="2"/>
      <x:c r="J2" s="2"/>
      <x:c r="K2" s="2"/>
      <x:c r="L2" s="2"/>
    </x:row>
    <x:row r="3" ht="23" customHeight="1">
      <x:c r="A3" s="2"/>
      <x:c r="B3" s="5"/>
      <x:c r="C3" s="5"/>
      <x:c r="D3" s="5"/>
      <x:c r="E3" s="5"/>
      <x:c r="F3" s="5"/>
      <x:c r="G3" s="5"/>
      <x:c r="H3" s="2"/>
      <x:c r="I3" s="2"/>
      <x:c r="J3" s="2"/>
      <x:c r="K3" s="2"/>
      <x:c r="L3" s="2"/>
    </x:row>
    <x:row r="4" ht="23" customHeight="1">
      <x:c r="A4" s="2"/>
      <x:c r="B4" s="19" t="str">
        <x:v>PROMISING SIGNAL — reported descriptive finding</x:v>
      </x:c>
      <x:c r="C4" s="19" t="str">
        <x:v>PROMISING SIGNAL — reported descriptive finding</x:v>
      </x:c>
      <x:c r="D4" s="19" t="str">
        <x:v>PROMISING SIGNAL — reported descriptive finding</x:v>
      </x:c>
      <x:c r="E4" s="19" t="str">
        <x:v>PROMISING SIGNAL — reported descriptive finding</x:v>
      </x:c>
      <x:c r="F4" s="19" t="str">
        <x:v>PROMISING SIGNAL — reported descriptive finding</x:v>
      </x:c>
      <x:c r="G4" s="19" t="str">
        <x:v>PROMISING SIGNAL — reported descriptive finding</x:v>
      </x:c>
      <x:c r="H4" s="2"/>
      <x:c r="I4" s="2"/>
      <x:c r="J4" s="2"/>
      <x:c r="K4" s="2"/>
      <x:c r="L4" s="2"/>
    </x:row>
    <x:row r="5" ht="52" customHeight="1">
      <x:c r="A5" s="2"/>
      <x:c r="B5" s="21" t="str">
        <x:v>Specific diagnosis and procedure codes were reported to differ between future initiators and non-initiators despite similar overall utilization. Raw-code export missing; code-level findings cannot be independently checked.</x:v>
      </x:c>
      <x:c r="C5" s="21" t="str">
        <x:v>Specific diagnosis and procedure codes were reported to differ between future initiators and non-initiators despite similar overall utilization. Raw-code export missing; code-level findings cannot be independently checked.</x:v>
      </x:c>
      <x:c r="D5" s="21" t="str">
        <x:v>Specific diagnosis and procedure codes were reported to differ between future initiators and non-initiators despite similar overall utilization. Raw-code export missing; code-level findings cannot be independently checked.</x:v>
      </x:c>
      <x:c r="E5" s="21" t="str">
        <x:v>Specific diagnosis and procedure codes were reported to differ between future initiators and non-initiators despite similar overall utilization. Raw-code export missing; code-level findings cannot be independently checked.</x:v>
      </x:c>
      <x:c r="F5" s="21" t="str">
        <x:v>Specific diagnosis and procedure codes were reported to differ between future initiators and non-initiators despite similar overall utilization. Raw-code export missing; code-level findings cannot be independently checked.</x:v>
      </x:c>
      <x:c r="G5" s="21" t="str">
        <x:v>Specific diagnosis and procedure codes were reported to differ between future initiators and non-initiators despite similar overall utilization. Raw-code export missing; code-level findings cannot be independently checked.</x:v>
      </x:c>
      <x:c r="H5" s="2"/>
      <x:c r="I5" s="2"/>
      <x:c r="J5" s="2"/>
      <x:c r="K5" s="2"/>
      <x:c r="L5" s="2"/>
    </x:row>
    <x:row r="6" ht="23" customHeight="1">
      <x:c r="A6" s="2"/>
      <x:c r="B6" s="2"/>
      <x:c r="C6" s="2"/>
      <x:c r="D6" s="2"/>
      <x:c r="E6" s="2"/>
      <x:c r="F6" s="2"/>
      <x:c r="G6" s="2"/>
      <x:c r="H6" s="2"/>
      <x:c r="I6" s="2"/>
      <x:c r="J6" s="2"/>
      <x:c r="K6" s="2"/>
      <x:c r="L6" s="2"/>
    </x:row>
    <x:row r="7" ht="23" customHeight="1">
      <x:c r="A7" s="2"/>
      <x:c r="B7" s="2"/>
      <x:c r="C7" s="2"/>
      <x:c r="D7" s="2"/>
      <x:c r="E7" s="2"/>
      <x:c r="F7" s="2"/>
      <x:c r="G7" s="2"/>
      <x:c r="H7" s="2"/>
      <x:c r="I7" s="2"/>
      <x:c r="J7" s="2"/>
      <x:c r="K7" s="2"/>
      <x:c r="L7" s="2"/>
    </x:row>
    <x:row r="8" ht="58" customHeight="1">
      <x:c r="A8" s="2"/>
      <x:c r="B8" s="16" t="str">
        <x:v>SIGNAL_TYPE</x:v>
      </x:c>
      <x:c r="C8" s="16" t="str">
        <x:v>CODE</x:v>
      </x:c>
      <x:c r="D8" s="16" t="str">
        <x:v>RESP0_PCT_30D</x:v>
      </x:c>
      <x:c r="E8" s="16" t="str">
        <x:v>RESP1_PCT_30D</x:v>
      </x:c>
      <x:c r="F8" s="16" t="str">
        <x:v>DIFF_30D_PP</x:v>
      </x:c>
      <x:c r="G8" s="16" t="str">
        <x:v>RESP0_PCT_90D</x:v>
      </x:c>
      <x:c r="H8" s="16" t="str">
        <x:v>RESP1_PCT_90D</x:v>
      </x:c>
      <x:c r="I8" s="16" t="str">
        <x:v>DIFF_90D_PP</x:v>
      </x:c>
      <x:c r="J8" s="16" t="str">
        <x:v>RESP0_PCT_270D</x:v>
      </x:c>
      <x:c r="K8" s="16" t="str">
        <x:v>RESP1_PCT_270D</x:v>
      </x:c>
      <x:c r="L8" s="16" t="str">
        <x:v>DIFF_270D_PP</x:v>
      </x:c>
    </x:row>
    <x:row r="9" ht="28" customHeight="1">
      <x:c r="A9" s="2"/>
      <x:c r="B9" s="13"/>
      <x:c r="C9" s="45"/>
      <x:c r="D9" s="30"/>
      <x:c r="E9" s="30"/>
      <x:c r="F9" s="31"/>
      <x:c r="G9" s="30"/>
      <x:c r="H9" s="30"/>
      <x:c r="I9" s="31"/>
      <x:c r="J9" s="30"/>
      <x:c r="K9" s="30"/>
      <x:c r="L9" s="31"/>
    </x:row>
    <x:row r="10" ht="23" customHeight="1">
      <x:c r="A10" s="2"/>
      <x:c r="B10" s="2"/>
      <x:c r="C10" s="2"/>
      <x:c r="D10" s="2"/>
      <x:c r="E10" s="2"/>
      <x:c r="F10" s="2"/>
      <x:c r="G10" s="2"/>
      <x:c r="H10" s="2"/>
      <x:c r="I10" s="2"/>
      <x:c r="J10" s="2"/>
      <x:c r="K10" s="2"/>
      <x:c r="L10" s="2"/>
    </x:row>
    <x:row r="11" ht="23" customHeight="1">
      <x:c r="A11" s="2"/>
      <x:c r="B11" s="19" t="str">
        <x:v>Missing input</x:v>
      </x:c>
      <x:c r="C11" s="19" t="str">
        <x:v>Missing input</x:v>
      </x:c>
      <x:c r="D11" s="19" t="str">
        <x:v>Missing input</x:v>
      </x:c>
      <x:c r="E11" s="19" t="str">
        <x:v>Missing input</x:v>
      </x:c>
      <x:c r="F11" s="19" t="str">
        <x:v>Missing input</x:v>
      </x:c>
      <x:c r="G11" s="19" t="str">
        <x:v>Missing input</x:v>
      </x:c>
      <x:c r="H11" s="2"/>
      <x:c r="I11" s="2"/>
      <x:c r="J11" s="2"/>
      <x:c r="K11" s="2"/>
      <x:c r="L11" s="2"/>
    </x:row>
    <x:row r="12" ht="42" customHeight="1">
      <x:c r="A12" s="2"/>
      <x:c r="B12" s="21" t="str">
        <x:v>No diagnosis/procedure raw-code rows were supplied or found in the repository. The table intentionally contains no codes, rates or descriptions.</x:v>
      </x:c>
      <x:c r="C12" s="21" t="str">
        <x:v>No diagnosis/procedure raw-code rows were supplied or found in the repository. The table intentionally contains no codes, rates or descriptions.</x:v>
      </x:c>
      <x:c r="D12" s="21" t="str">
        <x:v>No diagnosis/procedure raw-code rows were supplied or found in the repository. The table intentionally contains no codes, rates or descriptions.</x:v>
      </x:c>
      <x:c r="E12" s="21" t="str">
        <x:v>No diagnosis/procedure raw-code rows were supplied or found in the repository. The table intentionally contains no codes, rates or descriptions.</x:v>
      </x:c>
      <x:c r="F12" s="21" t="str">
        <x:v>No diagnosis/procedure raw-code rows were supplied or found in the repository. The table intentionally contains no codes, rates or descriptions.</x:v>
      </x:c>
      <x:c r="G12" s="21" t="str">
        <x:v>No diagnosis/procedure raw-code rows were supplied or found in the repository. The table intentionally contains no codes, rates or descriptions.</x:v>
      </x:c>
      <x:c r="H12" s="2"/>
      <x:c r="I12" s="2"/>
      <x:c r="J12" s="2"/>
      <x:c r="K12" s="2"/>
      <x:c r="L12" s="2"/>
    </x:row>
    <x:row r="13" ht="23" customHeight="1">
      <x:c r="A13" s="2"/>
      <x:c r="B13" s="2"/>
      <x:c r="C13" s="2"/>
      <x:c r="D13" s="2"/>
      <x:c r="E13" s="2"/>
      <x:c r="F13" s="2"/>
      <x:c r="G13" s="2"/>
      <x:c r="H13" s="2"/>
      <x:c r="I13" s="2"/>
      <x:c r="J13" s="2"/>
      <x:c r="K13" s="2"/>
      <x:c r="L13" s="2"/>
    </x:row>
    <x:row r="14" ht="23" customHeight="1">
      <x:c r="A14" s="2"/>
      <x:c r="B14" s="8" t="str">
        <x:v>Required sort and units</x:v>
      </x:c>
      <x:c r="C14" s="8" t="str">
        <x:v>Required sort and units</x:v>
      </x:c>
      <x:c r="D14" s="8" t="str">
        <x:v>Required sort and units</x:v>
      </x:c>
      <x:c r="E14" s="8" t="str">
        <x:v>Required sort and units</x:v>
      </x:c>
      <x:c r="F14" s="8" t="str">
        <x:v>Required sort and units</x:v>
      </x:c>
      <x:c r="G14" s="8" t="str">
        <x:v>Required sort and units</x:v>
      </x:c>
      <x:c r="H14" s="2"/>
      <x:c r="I14" s="2"/>
      <x:c r="J14" s="2"/>
      <x:c r="K14" s="2"/>
      <x:c r="L14" s="2"/>
    </x:row>
    <x:row r="15" ht="48" customHeight="1">
      <x:c r="A15" s="2"/>
      <x:c r="B15" s="10" t="str">
        <x:v>On import, sort DIFF_90D_PP descending, then DIFF_30D_PP descending. Store shares as Excel percentages. Difference columns are percentage points: 100 × (RESP 1 share − RESP 0 share).</x:v>
      </x:c>
      <x:c r="C15" s="10" t="str">
        <x:v>On import, sort DIFF_90D_PP descending, then DIFF_30D_PP descending. Store shares as Excel percentages. Difference columns are percentage points: 100 × (RESP 1 share − RESP 0 share).</x:v>
      </x:c>
      <x:c r="D15" s="10" t="str">
        <x:v>On import, sort DIFF_90D_PP descending, then DIFF_30D_PP descending. Store shares as Excel percentages. Difference columns are percentage points: 100 × (RESP 1 share − RESP 0 share).</x:v>
      </x:c>
      <x:c r="E15" s="10" t="str">
        <x:v>On import, sort DIFF_90D_PP descending, then DIFF_30D_PP descending. Store shares as Excel percentages. Difference columns are percentage points: 100 × (RESP 1 share − RESP 0 share).</x:v>
      </x:c>
      <x:c r="F15" s="10" t="str">
        <x:v>On import, sort DIFF_90D_PP descending, then DIFF_30D_PP descending. Store shares as Excel percentages. Difference columns are percentage points: 100 × (RESP 1 share − RESP 0 share).</x:v>
      </x:c>
      <x:c r="G15" s="10" t="str">
        <x:v>On import, sort DIFF_90D_PP descending, then DIFF_30D_PP descending. Store shares as Excel percentages. Difference columns are percentage points: 100 × (RESP 1 share − RESP 0 share).</x:v>
      </x:c>
      <x:c r="H15" s="2"/>
      <x:c r="I15" s="2"/>
      <x:c r="J15" s="2"/>
      <x:c r="K15" s="2"/>
      <x:c r="L15" s="2"/>
    </x:row>
    <x:row r="16" ht="23" customHeight="1">
      <x:c r="A16" s="2"/>
      <x:c r="B16" s="2"/>
      <x:c r="C16" s="2"/>
      <x:c r="D16" s="2"/>
      <x:c r="E16" s="2"/>
      <x:c r="F16" s="2"/>
      <x:c r="G16" s="2"/>
      <x:c r="H16" s="2"/>
      <x:c r="I16" s="2"/>
      <x:c r="J16" s="2"/>
      <x:c r="K16" s="2"/>
      <x:c r="L16" s="2"/>
    </x:row>
    <x:row r="17" ht="23" customHeight="1">
      <x:c r="A17" s="2"/>
      <x:c r="B17" s="8" t="str">
        <x:v>Candidate features</x:v>
      </x:c>
      <x:c r="C17" s="8" t="str">
        <x:v>Candidate features</x:v>
      </x:c>
      <x:c r="D17" s="8" t="str">
        <x:v>Candidate features</x:v>
      </x:c>
      <x:c r="E17" s="8" t="str">
        <x:v>Candidate features</x:v>
      </x:c>
      <x:c r="F17" s="8" t="str">
        <x:v>Candidate features</x:v>
      </x:c>
      <x:c r="G17" s="8" t="str">
        <x:v>Candidate features</x:v>
      </x:c>
      <x:c r="H17" s="2"/>
      <x:c r="I17" s="2"/>
      <x:c r="J17" s="2"/>
      <x:c r="K17" s="2"/>
      <x:c r="L17" s="2"/>
    </x:row>
    <x:row r="18" ht="40" customHeight="1">
      <x:c r="A18" s="2"/>
      <x:c r="B18" s="10" t="str">
        <x:v>Top DX presence flags at 30D / 90D; top PX presence flags at 30D / 90D; frequency of the strongest signals; recency of the strongest signals.</x:v>
      </x:c>
      <x:c r="C18" s="10" t="str">
        <x:v>Top DX presence flags at 30D / 90D; top PX presence flags at 30D / 90D; frequency of the strongest signals; recency of the strongest signals.</x:v>
      </x:c>
      <x:c r="D18" s="10" t="str">
        <x:v>Top DX presence flags at 30D / 90D; top PX presence flags at 30D / 90D; frequency of the strongest signals; recency of the strongest signals.</x:v>
      </x:c>
      <x:c r="E18" s="10" t="str">
        <x:v>Top DX presence flags at 30D / 90D; top PX presence flags at 30D / 90D; frequency of the strongest signals; recency of the strongest signals.</x:v>
      </x:c>
      <x:c r="F18" s="10" t="str">
        <x:v>Top DX presence flags at 30D / 90D; top PX presence flags at 30D / 90D; frequency of the strongest signals; recency of the strongest signals.</x:v>
      </x:c>
      <x:c r="G18" s="10" t="str">
        <x:v>Top DX presence flags at 30D / 90D; top PX presence flags at 30D / 90D; frequency of the strongest signals; recency of the strongest signals.</x:v>
      </x:c>
      <x:c r="H18" s="2"/>
      <x:c r="I18" s="2"/>
      <x:c r="J18" s="2"/>
      <x:c r="K18" s="2"/>
      <x:c r="L18" s="2"/>
    </x:row>
    <x:row r="19" ht="23" customHeight="1">
      <x:c r="A19" s="2"/>
      <x:c r="B19" s="2"/>
      <x:c r="C19" s="2"/>
      <x:c r="D19" s="2"/>
      <x:c r="E19" s="2"/>
      <x:c r="F19" s="2"/>
      <x:c r="G19" s="2"/>
      <x:c r="H19" s="2"/>
      <x:c r="I19" s="2"/>
      <x:c r="J19" s="2"/>
      <x:c r="K19" s="2"/>
      <x:c r="L19" s="2"/>
    </x:row>
    <x:row r="20" ht="23" customHeight="1">
      <x:c r="A20" s="2"/>
      <x:c r="B20" s="8" t="str">
        <x:v>Model implication</x:v>
      </x:c>
      <x:c r="C20" s="8" t="str">
        <x:v>Model implication</x:v>
      </x:c>
      <x:c r="D20" s="8" t="str">
        <x:v>Model implication</x:v>
      </x:c>
      <x:c r="E20" s="8" t="str">
        <x:v>Model implication</x:v>
      </x:c>
      <x:c r="F20" s="8" t="str">
        <x:v>Model implication</x:v>
      </x:c>
      <x:c r="G20" s="8" t="str">
        <x:v>Model implication</x:v>
      </x:c>
      <x:c r="H20" s="2"/>
      <x:c r="I20" s="2"/>
      <x:c r="J20" s="2"/>
      <x:c r="K20" s="2"/>
      <x:c r="L20" s="2"/>
    </x:row>
    <x:row r="21" ht="42" customHeight="1">
      <x:c r="A21" s="2"/>
      <x:c r="B21" s="10" t="str">
        <x:v>Select candidate codes using development data, map descriptions only from verified code dictionaries, and test incremental performance on out-of-time data.</x:v>
      </x:c>
      <x:c r="C21" s="10" t="str">
        <x:v>Select candidate codes using development data, map descriptions only from verified code dictionaries, and test incremental performance on out-of-time data.</x:v>
      </x:c>
      <x:c r="D21" s="10" t="str">
        <x:v>Select candidate codes using development data, map descriptions only from verified code dictionaries, and test incremental performance on out-of-time data.</x:v>
      </x:c>
      <x:c r="E21" s="10" t="str">
        <x:v>Select candidate codes using development data, map descriptions only from verified code dictionaries, and test incremental performance on out-of-time data.</x:v>
      </x:c>
      <x:c r="F21" s="10" t="str">
        <x:v>Select candidate codes using development data, map descriptions only from verified code dictionaries, and test incremental performance on out-of-time data.</x:v>
      </x:c>
      <x:c r="G21" s="10" t="str">
        <x:v>Select candidate codes using development data, map descriptions only from verified code dictionaries, and test incremental performance on out-of-time data.</x:v>
      </x:c>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23" customHeight="1">
      <x:c r="A24" s="2"/>
      <x:c r="B24" s="2"/>
      <x:c r="C24" s="2"/>
      <x:c r="D24" s="2"/>
      <x:c r="E24" s="2"/>
      <x:c r="F24" s="2"/>
      <x:c r="G24" s="2"/>
      <x:c r="H24" s="2"/>
      <x:c r="I24" s="2"/>
      <x:c r="J24" s="2"/>
      <x:c r="K24" s="2"/>
      <x:c r="L24" s="2"/>
    </x:row>
    <x:row r="25" ht="23" customHeight="1">
      <x:c r="A25" s="2"/>
      <x:c r="B25" s="2"/>
      <x:c r="C25" s="2"/>
      <x:c r="D25" s="2"/>
      <x:c r="E25" s="2"/>
      <x:c r="F25" s="2"/>
      <x:c r="G25" s="2"/>
      <x:c r="H25" s="2"/>
      <x:c r="I25" s="2"/>
      <x:c r="J25" s="2"/>
      <x:c r="K25" s="2"/>
      <x:c r="L25" s="2"/>
    </x:row>
    <x:row r="26" ht="23" customHeight="1">
      <x:c r="A26" s="2"/>
      <x:c r="B26" s="2"/>
      <x:c r="C26" s="2"/>
      <x:c r="D26" s="2"/>
      <x:c r="E26" s="2"/>
      <x:c r="F26" s="2"/>
      <x:c r="G26" s="2"/>
      <x:c r="H26" s="2"/>
      <x:c r="I26" s="2"/>
      <x:c r="J26" s="2"/>
      <x:c r="K26" s="2"/>
      <x:c r="L26" s="2"/>
    </x:row>
    <x:row r="27" ht="23" customHeight="1">
      <x:c r="A27" s="2"/>
      <x:c r="B27" s="2"/>
      <x:c r="C27" s="2"/>
      <x:c r="D27" s="2"/>
      <x:c r="E27" s="2"/>
      <x:c r="F27" s="2"/>
      <x:c r="G27" s="2"/>
      <x:c r="H27" s="2"/>
      <x:c r="I27" s="2"/>
      <x:c r="J27" s="2"/>
      <x:c r="K27" s="2"/>
      <x:c r="L27" s="2"/>
    </x:row>
    <x:row r="28" ht="23" customHeight="1">
      <x:c r="A28" s="2"/>
      <x:c r="B28" s="2"/>
      <x:c r="C28" s="2"/>
      <x:c r="D28" s="2"/>
      <x:c r="E28" s="2"/>
      <x:c r="F28" s="2"/>
      <x:c r="G28" s="2"/>
      <x:c r="H28" s="2"/>
      <x:c r="I28" s="2"/>
      <x:c r="J28" s="2"/>
      <x:c r="K28" s="2"/>
      <x:c r="L28" s="2"/>
    </x:row>
    <x:row r="29" ht="23" customHeight="1">
      <x:c r="A29" s="2"/>
      <x:c r="B29" s="2"/>
      <x:c r="C29" s="2"/>
      <x:c r="D29" s="2"/>
      <x:c r="E29" s="2"/>
      <x:c r="F29" s="2"/>
      <x:c r="G29" s="2"/>
      <x:c r="H29" s="2"/>
      <x:c r="I29" s="2"/>
      <x:c r="J29" s="2"/>
      <x:c r="K29" s="2"/>
      <x:c r="L29" s="2"/>
    </x:row>
    <x:row r="30" ht="23" customHeight="1">
      <x:c r="A30" s="2"/>
      <x:c r="B30" s="2"/>
      <x:c r="C30" s="2"/>
      <x:c r="D30" s="2"/>
      <x:c r="E30" s="2"/>
      <x:c r="F30" s="2"/>
      <x:c r="G30" s="2"/>
      <x:c r="H30" s="2"/>
      <x:c r="I30" s="2"/>
      <x:c r="J30" s="2"/>
      <x:c r="K30" s="2"/>
      <x:c r="L30" s="2"/>
    </x:row>
  </x:sheetData>
  <x:mergeCells>
    <x:mergeCell ref="B2:G2"/>
    <x:mergeCell ref="B4:G4"/>
    <x:mergeCell ref="B5:G5"/>
    <x:mergeCell ref="B11:G11"/>
    <x:mergeCell ref="B12:G12"/>
    <x:mergeCell ref="B14:G14"/>
    <x:mergeCell ref="B15:G15"/>
    <x:mergeCell ref="B17:G17"/>
    <x:mergeCell ref="B18:G18"/>
    <x:mergeCell ref="B20:G20"/>
    <x:mergeCell ref="B21:G21"/>
  </x:mergeCells>
  <x:pageMargins left="0.7" right="0.7" top="0.75" bottom="0.75" header="0.3" footer="0.3"/>
  <x:tableParts count="1">
    <x:tablePart xmlns:r="http://schemas.openxmlformats.org/officeDocument/2006/relationships" r:id="R62cdd142201e407a"/>
  </x:tableParts>
</x:worksheet>
</file>

<file path=xl/worksheets/sheet7.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43.75" hidden="0" customWidth="1"/>
    <x:col min="3" max="3" width="15.630000114440918" hidden="0" customWidth="1"/>
    <x:col min="4" max="4" width="15.630000114440918" hidden="0" customWidth="1"/>
    <x:col min="5" max="5" width="16.8799991607666" hidden="0" customWidth="1"/>
    <x:col min="6" max="6" width="13.75" hidden="0" customWidth="1"/>
    <x:col min="7" max="7" width="30" hidden="0" customWidth="1"/>
    <x:col min="8" max="8" width="3" hidden="0" customWidth="1"/>
  </x:cols>
  <x:sheetData>
    <x:row r="1" ht="23" customHeight="1">
      <x:c r="A1" s="2"/>
      <x:c r="B1" s="2"/>
      <x:c r="C1" s="2"/>
      <x:c r="D1" s="2"/>
      <x:c r="E1" s="2"/>
      <x:c r="F1" s="2"/>
      <x:c r="G1" s="2"/>
      <x:c r="H1" s="2"/>
    </x:row>
    <x:row r="2" ht="32" customHeight="1">
      <x:c r="A2" s="2"/>
      <x:c r="B2" s="4" t="str">
        <x:v>Provider &amp; Specialist</x:v>
      </x:c>
      <x:c r="C2" s="4" t="str">
        <x:v>Provider &amp; Specialist</x:v>
      </x:c>
      <x:c r="D2" s="4" t="str">
        <x:v>Provider &amp; Specialist</x:v>
      </x:c>
      <x:c r="E2" s="4" t="str">
        <x:v>Provider &amp; Specialist</x:v>
      </x:c>
      <x:c r="F2" s="4" t="str">
        <x:v>Provider &amp; Specialist</x:v>
      </x:c>
      <x:c r="G2" s="4" t="str">
        <x:v>Provider &amp; Specialist</x:v>
      </x:c>
      <x:c r="H2" s="2"/>
    </x:row>
    <x:row r="3" ht="23" customHeight="1">
      <x:c r="A3" s="2"/>
      <x:c r="B3" s="5"/>
      <x:c r="C3" s="5"/>
      <x:c r="D3" s="5"/>
      <x:c r="E3" s="5"/>
      <x:c r="F3" s="5"/>
      <x:c r="G3" s="5"/>
      <x:c r="H3" s="2"/>
    </x:row>
    <x:row r="4" ht="23" customHeight="1">
      <x:c r="A4" s="2"/>
      <x:c r="B4" s="26" t="str">
        <x:v>Provider count = WEAK; Specialty exposure = PROMISING</x:v>
      </x:c>
      <x:c r="C4" s="26" t="str">
        <x:v>Provider count = WEAK; Specialty exposure = PROMISING</x:v>
      </x:c>
      <x:c r="D4" s="26" t="str">
        <x:v>Provider count = WEAK; Specialty exposure = PROMISING</x:v>
      </x:c>
      <x:c r="E4" s="26" t="str">
        <x:v>Provider count = WEAK; Specialty exposure = PROMISING</x:v>
      </x:c>
      <x:c r="F4" s="26" t="str">
        <x:v>Provider count = WEAK; Specialty exposure = PROMISING</x:v>
      </x:c>
      <x:c r="G4" s="26" t="str">
        <x:v>Provider count = WEAK; Specialty exposure = PROMISING</x:v>
      </x:c>
      <x:c r="H4" s="2"/>
    </x:row>
    <x:row r="5" ht="23" customHeight="1">
      <x:c r="A5" s="2"/>
      <x:c r="B5" s="12" t="str">
        <x:v>Source: supplied NT1 trend-analysis brief. Aggregates have not been rerun against warehouse data.</x:v>
      </x:c>
      <x:c r="C5" s="12" t="str">
        <x:v>Source: supplied NT1 trend-analysis brief. Aggregates have not been rerun against warehouse data.</x:v>
      </x:c>
      <x:c r="D5" s="12" t="str">
        <x:v>Source: supplied NT1 trend-analysis brief. Aggregates have not been rerun against warehouse data.</x:v>
      </x:c>
      <x:c r="E5" s="12" t="str">
        <x:v>Source: supplied NT1 trend-analysis brief. Aggregates have not been rerun against warehouse data.</x:v>
      </x:c>
      <x:c r="F5" s="12" t="str">
        <x:v>Source: supplied NT1 trend-analysis brief. Aggregates have not been rerun against warehouse data.</x:v>
      </x:c>
      <x:c r="G5" s="12" t="str">
        <x:v>Source: supplied NT1 trend-analysis brief. Aggregates have not been rerun against warehouse data.</x:v>
      </x:c>
      <x:c r="H5" s="2"/>
    </x:row>
    <x:row r="6" ht="32" customHeight="1">
      <x:c r="A6" s="2"/>
      <x:c r="B6" s="12" t="str">
        <x:v>RESP 0: no initiation in the next 90 days with required observation. RESP 1: first advanced-therapy initiation in that window.</x:v>
      </x:c>
      <x:c r="C6" s="12" t="str">
        <x:v>RESP 0: no initiation in the next 90 days with required observation. RESP 1: first advanced-therapy initiation in that window.</x:v>
      </x:c>
      <x:c r="D6" s="12" t="str">
        <x:v>RESP 0: no initiation in the next 90 days with required observation. RESP 1: first advanced-therapy initiation in that window.</x:v>
      </x:c>
      <x:c r="E6" s="12" t="str">
        <x:v>RESP 0: no initiation in the next 90 days with required observation. RESP 1: first advanced-therapy initiation in that window.</x:v>
      </x:c>
      <x:c r="F6" s="12" t="str">
        <x:v>RESP 0: no initiation in the next 90 days with required observation. RESP 1: first advanced-therapy initiation in that window.</x:v>
      </x:c>
      <x:c r="G6" s="12" t="str">
        <x:v>RESP 0: no initiation in the next 90 days with required observation. RESP 1: first advanced-therapy initiation in that window.</x:v>
      </x:c>
      <x:c r="H6" s="2"/>
    </x:row>
    <x:row r="7" ht="23" customHeight="1">
      <x:c r="A7" s="2"/>
      <x:c r="B7" s="2"/>
      <x:c r="C7" s="2"/>
      <x:c r="D7" s="2"/>
      <x:c r="E7" s="2"/>
      <x:c r="F7" s="2"/>
      <x:c r="G7" s="2"/>
      <x:c r="H7" s="2"/>
    </x:row>
    <x:row r="8" ht="38" customHeight="1">
      <x:c r="A8" s="2"/>
      <x:c r="B8" s="16" t="str">
        <x:v>Metric</x:v>
      </x:c>
      <x:c r="C8" s="16" t="str">
        <x:v>RESP 0</x:v>
      </x:c>
      <x:c r="D8" s="16" t="str">
        <x:v>RESP 1</x:v>
      </x:c>
      <x:c r="E8" s="16" t="str">
        <x:v>Difference</x:v>
      </x:c>
      <x:c r="F8" s="16" t="str">
        <x:v>Unit</x:v>
      </x:c>
      <x:c r="G8" s="16" t="str">
        <x:v>Explanation</x:v>
      </x:c>
      <x:c r="H8" s="2"/>
    </x:row>
    <x:row r="9" ht="32" customHeight="1">
      <x:c r="A9" s="2"/>
      <x:c r="B9" s="13" t="str">
        <x:v>SNAPSHOTS</x:v>
      </x:c>
      <x:c r="C9" s="34" t="n">
        <x:v>1224415</x:v>
      </x:c>
      <x:c r="D9" s="34" t="n">
        <x:v>8489</x:v>
      </x:c>
      <x:c r="E9" s="35" t="n">
        <x:f>D9-C9</x:f>
        <x:v>-1215926</x:v>
      </x:c>
      <x:c r="F9" s="13" t="str">
        <x:v>count</x:v>
      </x:c>
      <x:c r="G9" s="13" t="str">
        <x:v>Patient-snapshots</x:v>
      </x:c>
      <x:c r="H9" s="2"/>
    </x:row>
    <x:row r="10" ht="32" customHeight="1">
      <x:c r="A10" s="2"/>
      <x:c r="B10" s="13" t="str">
        <x:v>PATIENTS</x:v>
      </x:c>
      <x:c r="C10" s="34" t="n">
        <x:v>42807</x:v>
      </x:c>
      <x:c r="D10" s="34" t="n">
        <x:v>8489</x:v>
      </x:c>
      <x:c r="E10" s="35" t="n">
        <x:f>D10-C10</x:f>
        <x:v>-34318</x:v>
      </x:c>
      <x:c r="F10" s="13" t="str">
        <x:v>count</x:v>
      </x:c>
      <x:c r="G10" s="13" t="str">
        <x:v>Distinct patients within this analysis</x:v>
      </x:c>
      <x:c r="H10" s="2"/>
    </x:row>
    <x:row r="11" ht="32" customHeight="1">
      <x:c r="A11" s="2"/>
      <x:c r="B11" s="13" t="str">
        <x:v>AVG_UNIQUE_PROVIDERS_270D</x:v>
      </x:c>
      <x:c r="C11" s="36" t="n">
        <x:v>8.35</x:v>
      </x:c>
      <x:c r="D11" s="36" t="n">
        <x:v>8.25</x:v>
      </x:c>
      <x:c r="E11" s="37" t="n">
        <x:f>D11-C11</x:f>
        <x:v>-0.09999999999999964</x:v>
      </x:c>
      <x:c r="F11" s="13" t="str">
        <x:v>source units</x:v>
      </x:c>
      <x:c r="G11" s="13" t="str">
        <x:v>Average distinct providers</x:v>
      </x:c>
      <x:c r="H11" s="2"/>
    </x:row>
    <x:row r="12" ht="32" customHeight="1">
      <x:c r="A12" s="2"/>
      <x:c r="B12" s="13" t="str">
        <x:v>AVG_UNIQUE_PROVIDERS_90D</x:v>
      </x:c>
      <x:c r="C12" s="36" t="n">
        <x:v>3.64</x:v>
      </x:c>
      <x:c r="D12" s="36" t="n">
        <x:v>3.59</x:v>
      </x:c>
      <x:c r="E12" s="37" t="n">
        <x:f>D12-C12</x:f>
        <x:v>-0.050000000000000266</x:v>
      </x:c>
      <x:c r="F12" s="13" t="str">
        <x:v>source units</x:v>
      </x:c>
      <x:c r="G12" s="13" t="str">
        <x:v>Average distinct providers</x:v>
      </x:c>
      <x:c r="H12" s="2"/>
    </x:row>
    <x:row r="13" ht="32" customHeight="1">
      <x:c r="A13" s="2"/>
      <x:c r="B13" s="13" t="str">
        <x:v>AVG_UNIQUE_PROVIDERS_30D</x:v>
      </x:c>
      <x:c r="C13" s="36" t="n">
        <x:v>1.54</x:v>
      </x:c>
      <x:c r="D13" s="36" t="n">
        <x:v>1.63</x:v>
      </x:c>
      <x:c r="E13" s="37" t="n">
        <x:f>D13-C13</x:f>
        <x:v>0.08999999999999986</x:v>
      </x:c>
      <x:c r="F13" s="13" t="str">
        <x:v>source units</x:v>
      </x:c>
      <x:c r="G13" s="13" t="str">
        <x:v>Average distinct providers</x:v>
      </x:c>
      <x:c r="H13" s="2"/>
    </x:row>
    <x:row r="14" ht="32" customHeight="1">
      <x:c r="A14" s="2"/>
      <x:c r="B14" s="13" t="str">
        <x:v>MEDIAN_DAYS_SINCE_PROVIDER</x:v>
      </x:c>
      <x:c r="C14" s="48" t="n">
        <x:v>19</x:v>
      </x:c>
      <x:c r="D14" s="48" t="n">
        <x:v>16</x:v>
      </x:c>
      <x:c r="E14" s="49" t="n">
        <x:f>D14-C14</x:f>
        <x:v>-3</x:v>
      </x:c>
      <x:c r="F14" s="13" t="str">
        <x:v>days (approx.)</x:v>
      </x:c>
      <x:c r="G14" s="13" t="str">
        <x:v>Approximate median days; differences also approximate</x:v>
      </x:c>
      <x:c r="H14" s="2"/>
    </x:row>
    <x:row r="15" ht="23" customHeight="1">
      <x:c r="A15" s="2"/>
      <x:c r="B15" s="2"/>
      <x:c r="C15" s="2"/>
      <x:c r="D15" s="2"/>
      <x:c r="E15" s="2"/>
      <x:c r="F15" s="2"/>
      <x:c r="G15" s="2"/>
      <x:c r="H15" s="2"/>
    </x:row>
    <x:row r="16" ht="30" customHeight="1">
      <x:c r="A16" s="2"/>
      <x:c r="B16" s="12" t="str">
        <x:v>Difference = RESP 1 − RESP 0. Percentage rows use percentage points (pp); other rows use the source unit.</x:v>
      </x:c>
      <x:c r="C16" s="12" t="str">
        <x:v>Difference = RESP 1 − RESP 0. Percentage rows use percentage points (pp); other rows use the source unit.</x:v>
      </x:c>
      <x:c r="D16" s="12" t="str">
        <x:v>Difference = RESP 1 − RESP 0. Percentage rows use percentage points (pp); other rows use the source unit.</x:v>
      </x:c>
      <x:c r="E16" s="12" t="str">
        <x:v>Difference = RESP 1 − RESP 0. Percentage rows use percentage points (pp); other rows use the source unit.</x:v>
      </x:c>
      <x:c r="F16" s="12" t="str">
        <x:v>Difference = RESP 1 − RESP 0. Percentage rows use percentage points (pp); other rows use the source unit.</x:v>
      </x:c>
      <x:c r="G16" s="12" t="str">
        <x:v>Difference = RESP 1 − RESP 0. Percentage rows use percentage points (pp); other rows use the source unit.</x:v>
      </x:c>
      <x:c r="H16" s="2"/>
    </x:row>
    <x:row r="17" ht="23" customHeight="1">
      <x:c r="A17" s="2"/>
      <x:c r="B17" s="2"/>
      <x:c r="C17" s="2"/>
      <x:c r="D17" s="2"/>
      <x:c r="E17" s="2"/>
      <x:c r="F17" s="2"/>
      <x:c r="G17" s="2"/>
      <x:c r="H17" s="2"/>
    </x:row>
    <x:row r="18" ht="23" customHeight="1">
      <x:c r="A18" s="2"/>
      <x:c r="B18" s="8" t="str">
        <x:v>Descriptive finding</x:v>
      </x:c>
      <x:c r="C18" s="8" t="str">
        <x:v>Descriptive finding</x:v>
      </x:c>
      <x:c r="D18" s="8" t="str">
        <x:v>Descriptive finding</x:v>
      </x:c>
      <x:c r="E18" s="8" t="str">
        <x:v>Descriptive finding</x:v>
      </x:c>
      <x:c r="F18" s="8" t="str">
        <x:v>Descriptive finding</x:v>
      </x:c>
      <x:c r="G18" s="8" t="str">
        <x:v>Descriptive finding</x:v>
      </x:c>
      <x:c r="H18" s="2"/>
    </x:row>
    <x:row r="19" ht="44" customHeight="1">
      <x:c r="A19" s="2"/>
      <x:c r="B19" s="10" t="str">
        <x:v>Overall provider count is broadly similar between groups. Provider count alone is unlikely to be a strong predictor.</x:v>
      </x:c>
      <x:c r="C19" s="10" t="str">
        <x:v>Overall provider count is broadly similar between groups. Provider count alone is unlikely to be a strong predictor.</x:v>
      </x:c>
      <x:c r="D19" s="10" t="str">
        <x:v>Overall provider count is broadly similar between groups. Provider count alone is unlikely to be a strong predictor.</x:v>
      </x:c>
      <x:c r="E19" s="10" t="str">
        <x:v>Overall provider count is broadly similar between groups. Provider count alone is unlikely to be a strong predictor.</x:v>
      </x:c>
      <x:c r="F19" s="10" t="str">
        <x:v>Overall provider count is broadly similar between groups. Provider count alone is unlikely to be a strong predictor.</x:v>
      </x:c>
      <x:c r="G19" s="10" t="str">
        <x:v>Overall provider count is broadly similar between groups. Provider count alone is unlikely to be a strong predictor.</x:v>
      </x:c>
      <x:c r="H19" s="2"/>
    </x:row>
    <x:row r="20" ht="23" customHeight="1">
      <x:c r="A20" s="2"/>
      <x:c r="B20" s="2"/>
      <x:c r="C20" s="2"/>
      <x:c r="D20" s="2"/>
      <x:c r="E20" s="2"/>
      <x:c r="F20" s="2"/>
      <x:c r="G20" s="2"/>
      <x:c r="H20" s="2"/>
    </x:row>
    <x:row r="21" ht="23" customHeight="1">
      <x:c r="A21" s="2"/>
      <x:c r="B21" s="8" t="str">
        <x:v>Model implication</x:v>
      </x:c>
      <x:c r="C21" s="8" t="str">
        <x:v>Model implication</x:v>
      </x:c>
      <x:c r="D21" s="8" t="str">
        <x:v>Model implication</x:v>
      </x:c>
      <x:c r="E21" s="8" t="str">
        <x:v>Model implication</x:v>
      </x:c>
      <x:c r="F21" s="8" t="str">
        <x:v>Model implication</x:v>
      </x:c>
      <x:c r="G21" s="8" t="str">
        <x:v>Model implication</x:v>
      </x:c>
      <x:c r="H21" s="2"/>
    </x:row>
    <x:row r="22" ht="44" customHeight="1">
      <x:c r="A22" s="2"/>
      <x:c r="B22" s="10" t="str">
        <x:v>Prioritize specialty-specific presence and recency over raw provider count; validate the specialty trend export before selecting specialties.</x:v>
      </x:c>
      <x:c r="C22" s="10" t="str">
        <x:v>Prioritize specialty-specific presence and recency over raw provider count; validate the specialty trend export before selecting specialties.</x:v>
      </x:c>
      <x:c r="D22" s="10" t="str">
        <x:v>Prioritize specialty-specific presence and recency over raw provider count; validate the specialty trend export before selecting specialties.</x:v>
      </x:c>
      <x:c r="E22" s="10" t="str">
        <x:v>Prioritize specialty-specific presence and recency over raw provider count; validate the specialty trend export before selecting specialties.</x:v>
      </x:c>
      <x:c r="F22" s="10" t="str">
        <x:v>Prioritize specialty-specific presence and recency over raw provider count; validate the specialty trend export before selecting specialties.</x:v>
      </x:c>
      <x:c r="G22" s="10" t="str">
        <x:v>Prioritize specialty-specific presence and recency over raw provider count; validate the specialty trend export before selecting specialties.</x:v>
      </x:c>
      <x:c r="H22" s="2"/>
    </x:row>
    <x:row r="23" ht="23" customHeight="1">
      <x:c r="A23" s="2"/>
      <x:c r="B23" s="2"/>
      <x:c r="C23" s="2"/>
      <x:c r="D23" s="2"/>
      <x:c r="E23" s="2"/>
      <x:c r="F23" s="2"/>
      <x:c r="G23" s="2"/>
      <x:c r="H23" s="2"/>
    </x:row>
    <x:row r="24" ht="23" customHeight="1">
      <x:c r="A24" s="2"/>
      <x:c r="B24" s="19" t="str">
        <x:v>Specialty finding reported in the brief</x:v>
      </x:c>
      <x:c r="C24" s="19" t="str">
        <x:v>Specialty finding reported in the brief</x:v>
      </x:c>
      <x:c r="D24" s="19" t="str">
        <x:v>Specialty finding reported in the brief</x:v>
      </x:c>
      <x:c r="E24" s="19" t="str">
        <x:v>Specialty finding reported in the brief</x:v>
      </x:c>
      <x:c r="F24" s="19" t="str">
        <x:v>Specialty finding reported in the brief</x:v>
      </x:c>
      <x:c r="G24" s="19" t="str">
        <x:v>Specialty finding reported in the brief</x:v>
      </x:c>
      <x:c r="H24" s="2"/>
    </x:row>
    <x:row r="25" ht="42" customHeight="1">
      <x:c r="A25" s="2"/>
      <x:c r="B25" s="21" t="str">
        <x:v>Psychiatry showed higher recent exposure among RESP 1. No numeric specialty values were supplied or found, so the strength and ranking remain unverified.</x:v>
      </x:c>
      <x:c r="C25" s="21" t="str">
        <x:v>Psychiatry showed higher recent exposure among RESP 1. No numeric specialty values were supplied or found, so the strength and ranking remain unverified.</x:v>
      </x:c>
      <x:c r="D25" s="21" t="str">
        <x:v>Psychiatry showed higher recent exposure among RESP 1. No numeric specialty values were supplied or found, so the strength and ranking remain unverified.</x:v>
      </x:c>
      <x:c r="E25" s="21" t="str">
        <x:v>Psychiatry showed higher recent exposure among RESP 1. No numeric specialty values were supplied or found, so the strength and ranking remain unverified.</x:v>
      </x:c>
      <x:c r="F25" s="21" t="str">
        <x:v>Psychiatry showed higher recent exposure among RESP 1. No numeric specialty values were supplied or found, so the strength and ranking remain unverified.</x:v>
      </x:c>
      <x:c r="G25" s="21" t="str">
        <x:v>Psychiatry showed higher recent exposure among RESP 1. No numeric specialty values were supplied or found, so the strength and ranking remain unverified.</x:v>
      </x:c>
      <x:c r="H25" s="2"/>
    </x:row>
    <x:row r="26" ht="23" customHeight="1">
      <x:c r="A26" s="2"/>
      <x:c r="B26" s="2"/>
      <x:c r="C26" s="2"/>
      <x:c r="D26" s="2"/>
      <x:c r="E26" s="2"/>
      <x:c r="F26" s="2"/>
      <x:c r="G26" s="2"/>
      <x:c r="H26" s="2"/>
    </x:row>
    <x:row r="27" ht="23" customHeight="1">
      <x:c r="A27" s="2"/>
      <x:c r="B27" s="2"/>
      <x:c r="C27" s="2"/>
      <x:c r="D27" s="2"/>
      <x:c r="E27" s="2"/>
      <x:c r="F27" s="2"/>
      <x:c r="G27" s="2"/>
      <x:c r="H27" s="2"/>
    </x:row>
    <x:row r="28" ht="38" customHeight="1">
      <x:c r="A28" s="2"/>
      <x:c r="B28" s="16" t="str">
        <x:v>Specialty</x:v>
      </x:c>
      <x:c r="C28" s="16" t="str">
        <x:v>RESP0_PCT_90D</x:v>
      </x:c>
      <x:c r="D28" s="16" t="str">
        <x:v>RESP1_PCT_90D</x:v>
      </x:c>
      <x:c r="E28" s="16" t="str">
        <x:v>DIFF_90D_PP</x:v>
      </x:c>
      <x:c r="F28" s="16" t="str">
        <x:v>Status</x:v>
      </x:c>
      <x:c r="G28" s="16" t="str">
        <x:v>Notes</x:v>
      </x:c>
      <x:c r="H28" s="2"/>
    </x:row>
    <x:row r="29" ht="28" customHeight="1">
      <x:c r="A29" s="2"/>
      <x:c r="B29" s="13"/>
      <x:c r="C29" s="30"/>
      <x:c r="D29" s="30"/>
      <x:c r="E29" s="31"/>
      <x:c r="F29" s="13"/>
      <x:c r="G29" s="13"/>
      <x:c r="H29" s="2"/>
    </x:row>
    <x:row r="30" ht="23" customHeight="1">
      <x:c r="A30" s="2"/>
      <x:c r="B30" s="2"/>
      <x:c r="C30" s="2"/>
      <x:c r="D30" s="2"/>
      <x:c r="E30" s="2"/>
      <x:c r="F30" s="2"/>
      <x:c r="G30" s="2"/>
      <x:c r="H30" s="2"/>
    </x:row>
    <x:row r="31" ht="23" customHeight="1">
      <x:c r="A31" s="2"/>
      <x:c r="B31" s="19" t="str">
        <x:v>Specialty export pending</x:v>
      </x:c>
      <x:c r="C31" s="19" t="str">
        <x:v>Specialty export pending</x:v>
      </x:c>
      <x:c r="D31" s="19" t="str">
        <x:v>Specialty export pending</x:v>
      </x:c>
      <x:c r="E31" s="19" t="str">
        <x:v>Specialty export pending</x:v>
      </x:c>
      <x:c r="F31" s="19" t="str">
        <x:v>Specialty export pending</x:v>
      </x:c>
      <x:c r="G31" s="19" t="str">
        <x:v>Specialty export pending</x:v>
      </x:c>
      <x:c r="H31" s="2"/>
    </x:row>
    <x:row r="32" ht="40" customHeight="1">
      <x:c r="A32" s="2"/>
      <x:c r="B32" s="21" t="str">
        <x:v>Populate source specialty values only. Sort DIFF_90D_PP descending and preserve source denominators. No enriched specialty values have been invented.</x:v>
      </x:c>
      <x:c r="C32" s="21" t="str">
        <x:v>Populate source specialty values only. Sort DIFF_90D_PP descending and preserve source denominators. No enriched specialty values have been invented.</x:v>
      </x:c>
      <x:c r="D32" s="21" t="str">
        <x:v>Populate source specialty values only. Sort DIFF_90D_PP descending and preserve source denominators. No enriched specialty values have been invented.</x:v>
      </x:c>
      <x:c r="E32" s="21" t="str">
        <x:v>Populate source specialty values only. Sort DIFF_90D_PP descending and preserve source denominators. No enriched specialty values have been invented.</x:v>
      </x:c>
      <x:c r="F32" s="21" t="str">
        <x:v>Populate source specialty values only. Sort DIFF_90D_PP descending and preserve source denominators. No enriched specialty values have been invented.</x:v>
      </x:c>
      <x:c r="G32" s="21" t="str">
        <x:v>Populate source specialty values only. Sort DIFF_90D_PP descending and preserve source denominators. No enriched specialty values have been invented.</x:v>
      </x:c>
      <x:c r="H32" s="2"/>
    </x:row>
    <x:row r="33" ht="23" customHeight="1">
      <x:c r="A33" s="2"/>
      <x:c r="B33" s="2"/>
      <x:c r="C33" s="2"/>
      <x:c r="D33" s="2"/>
      <x:c r="E33" s="2"/>
      <x:c r="F33" s="2"/>
      <x:c r="G33" s="2"/>
      <x:c r="H33" s="2"/>
    </x:row>
    <x:row r="34" ht="23" customHeight="1">
      <x:c r="A34" s="2"/>
      <x:c r="B34" s="8" t="str">
        <x:v>Candidate features</x:v>
      </x:c>
      <x:c r="C34" s="8" t="str">
        <x:v>Candidate features</x:v>
      </x:c>
      <x:c r="D34" s="8" t="str">
        <x:v>Candidate features</x:v>
      </x:c>
      <x:c r="E34" s="8" t="str">
        <x:v>Candidate features</x:v>
      </x:c>
      <x:c r="F34" s="8" t="str">
        <x:v>Candidate features</x:v>
      </x:c>
      <x:c r="G34" s="8" t="str">
        <x:v>Candidate features</x:v>
      </x:c>
      <x:c r="H34" s="2"/>
    </x:row>
    <x:row r="35" ht="44" customHeight="1">
      <x:c r="A35" s="2"/>
      <x:c r="B35" s="10" t="str">
        <x:v>SPECIALTY_VISIT_30D; SPECIALTY_VISIT_90D; DAYS_SINCE_SPECIALTY_VISIT; DISTINCT_SPECIALTIES_90D; specialty-specific flags for the strongest enriched specialties.</x:v>
      </x:c>
      <x:c r="C35" s="10" t="str">
        <x:v>SPECIALTY_VISIT_30D; SPECIALTY_VISIT_90D; DAYS_SINCE_SPECIALTY_VISIT; DISTINCT_SPECIALTIES_90D; specialty-specific flags for the strongest enriched specialties.</x:v>
      </x:c>
      <x:c r="D35" s="10" t="str">
        <x:v>SPECIALTY_VISIT_30D; SPECIALTY_VISIT_90D; DAYS_SINCE_SPECIALTY_VISIT; DISTINCT_SPECIALTIES_90D; specialty-specific flags for the strongest enriched specialties.</x:v>
      </x:c>
      <x:c r="E35" s="10" t="str">
        <x:v>SPECIALTY_VISIT_30D; SPECIALTY_VISIT_90D; DAYS_SINCE_SPECIALTY_VISIT; DISTINCT_SPECIALTIES_90D; specialty-specific flags for the strongest enriched specialties.</x:v>
      </x:c>
      <x:c r="F35" s="10" t="str">
        <x:v>SPECIALTY_VISIT_30D; SPECIALTY_VISIT_90D; DAYS_SINCE_SPECIALTY_VISIT; DISTINCT_SPECIALTIES_90D; specialty-specific flags for the strongest enriched specialties.</x:v>
      </x:c>
      <x:c r="G35" s="10" t="str">
        <x:v>SPECIALTY_VISIT_30D; SPECIALTY_VISIT_90D; DAYS_SINCE_SPECIALTY_VISIT; DISTINCT_SPECIALTIES_90D; specialty-specific flags for the strongest enriched specialties.</x:v>
      </x:c>
      <x:c r="H35" s="2"/>
    </x:row>
    <x:row r="36" ht="23" customHeight="1">
      <x:c r="A36" s="2"/>
      <x:c r="B36" s="2"/>
      <x:c r="C36" s="2"/>
      <x:c r="D36" s="2"/>
      <x:c r="E36" s="2"/>
      <x:c r="F36" s="2"/>
      <x:c r="G36" s="2"/>
      <x:c r="H36" s="2"/>
    </x:row>
    <x:row r="37" ht="23" customHeight="1">
      <x:c r="A37" s="2"/>
      <x:c r="B37" s="8" t="str">
        <x:v>How to read the numbers</x:v>
      </x:c>
      <x:c r="C37" s="8" t="str">
        <x:v>How to read the numbers</x:v>
      </x:c>
      <x:c r="D37" s="8" t="str">
        <x:v>How to read the numbers</x:v>
      </x:c>
      <x:c r="E37" s="8" t="str">
        <x:v>How to read the numbers</x:v>
      </x:c>
      <x:c r="F37" s="8" t="str">
        <x:v>How to read the numbers</x:v>
      </x:c>
      <x:c r="G37" s="8" t="str">
        <x:v>How to read the numbers</x:v>
      </x:c>
      <x:c r="H37" s="2"/>
    </x:row>
    <x:row r="38" ht="42" customHeight="1">
      <x:c r="A38" s="2"/>
      <x:c r="B38" s="10" t="str">
        <x:v>Average unique providers over 90 days: 3.64 vs 3.59 (−0.05). Over 30 days: 1.54 vs 1.63 (+0.09). Median days since provider activity are approximately 19 vs 16.</x:v>
      </x:c>
      <x:c r="C38" s="10" t="str">
        <x:v>Average unique providers over 90 days: 3.64 vs 3.59 (−0.05). Over 30 days: 1.54 vs 1.63 (+0.09). Median days since provider activity are approximately 19 vs 16.</x:v>
      </x:c>
      <x:c r="D38" s="10" t="str">
        <x:v>Average unique providers over 90 days: 3.64 vs 3.59 (−0.05). Over 30 days: 1.54 vs 1.63 (+0.09). Median days since provider activity are approximately 19 vs 16.</x:v>
      </x:c>
      <x:c r="E38" s="10" t="str">
        <x:v>Average unique providers over 90 days: 3.64 vs 3.59 (−0.05). Over 30 days: 1.54 vs 1.63 (+0.09). Median days since provider activity are approximately 19 vs 16.</x:v>
      </x:c>
      <x:c r="F38" s="10" t="str">
        <x:v>Average unique providers over 90 days: 3.64 vs 3.59 (−0.05). Over 30 days: 1.54 vs 1.63 (+0.09). Median days since provider activity are approximately 19 vs 16.</x:v>
      </x:c>
      <x:c r="G38" s="10" t="str">
        <x:v>Average unique providers over 90 days: 3.64 vs 3.59 (−0.05). Over 30 days: 1.54 vs 1.63 (+0.09). Median days since provider activity are approximately 19 vs 16.</x:v>
      </x:c>
      <x:c r="H38" s="2"/>
    </x:row>
    <x:row r="39" ht="23" customHeight="1">
      <x:c r="A39" s="2"/>
      <x:c r="B39" s="2"/>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row r="43" ht="23" customHeight="1">
      <x:c r="A43" s="2"/>
      <x:c r="B43" s="2"/>
      <x:c r="C43" s="2"/>
      <x:c r="D43" s="2"/>
      <x:c r="E43" s="2"/>
      <x:c r="F43" s="2"/>
      <x:c r="G43" s="2"/>
      <x:c r="H43" s="2"/>
    </x:row>
  </x:sheetData>
  <x:mergeCells>
    <x:mergeCell ref="B2:G2"/>
    <x:mergeCell ref="B4:G4"/>
    <x:mergeCell ref="B5:G5"/>
    <x:mergeCell ref="B6:G6"/>
    <x:mergeCell ref="B16:G16"/>
    <x:mergeCell ref="B18:G18"/>
    <x:mergeCell ref="B19:G19"/>
    <x:mergeCell ref="B21:G21"/>
    <x:mergeCell ref="B22:G22"/>
    <x:mergeCell ref="B24:G24"/>
    <x:mergeCell ref="B25:G25"/>
    <x:mergeCell ref="B31:G31"/>
    <x:mergeCell ref="B32:G32"/>
    <x:mergeCell ref="B34:G34"/>
    <x:mergeCell ref="B35:G35"/>
    <x:mergeCell ref="B37:G37"/>
    <x:mergeCell ref="B38:G38"/>
  </x:mergeCells>
  <x:conditionalFormatting sqref="B4:G4">
    <x:cfRule type="containsText" dxfId="20" priority="1" operator="containsText" text="STRONG"/>
    <x:cfRule type="containsText" dxfId="21" priority="2" operator="containsText" text="PROMISING"/>
    <x:cfRule type="containsText" dxfId="22" priority="3" operator="containsText" text="WEAK"/>
    <x:cfRule type="containsText" dxfId="23" priority="4" operator="containsText" text="Needs Validation"/>
    <x:cfRule type="containsText" dxfId="24" priority="5" operator="containsText" text="Missing"/>
  </x:conditionalFormatting>
  <x:pageMargins left="0.7" right="0.7" top="0.75" bottom="0.75" header="0.3" footer="0.3"/>
  <x:tableParts count="2">
    <x:tablePart xmlns:r="http://schemas.openxmlformats.org/officeDocument/2006/relationships" r:id="R5e40506e2c364a5a"/>
    <x:tablePart xmlns:r="http://schemas.openxmlformats.org/officeDocument/2006/relationships" r:id="R48f640550321436b"/>
  </x:tableParts>
</x:worksheet>
</file>

<file path=xl/worksheets/sheet8.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43.75" hidden="0" customWidth="1"/>
    <x:col min="3" max="3" width="15.630000114440918" hidden="0" customWidth="1"/>
    <x:col min="4" max="4" width="15.630000114440918" hidden="0" customWidth="1"/>
    <x:col min="5" max="5" width="16.8799991607666" hidden="0" customWidth="1"/>
    <x:col min="6" max="6" width="13.75" hidden="0" customWidth="1"/>
    <x:col min="7" max="7" width="30" hidden="0" customWidth="1"/>
    <x:col min="8" max="8" width="3" hidden="0" customWidth="1"/>
  </x:cols>
  <x:sheetData>
    <x:row r="1" ht="23" customHeight="1">
      <x:c r="A1" s="2"/>
      <x:c r="B1" s="2"/>
      <x:c r="C1" s="2"/>
      <x:c r="D1" s="2"/>
      <x:c r="E1" s="2"/>
      <x:c r="F1" s="2"/>
      <x:c r="G1" s="2"/>
      <x:c r="H1" s="2"/>
    </x:row>
    <x:row r="2" ht="32" customHeight="1">
      <x:c r="A2" s="2"/>
      <x:c r="B2" s="4" t="str">
        <x:v>Plan Access</x:v>
      </x:c>
      <x:c r="C2" s="4" t="str">
        <x:v>Plan Access</x:v>
      </x:c>
      <x:c r="D2" s="4" t="str">
        <x:v>Plan Access</x:v>
      </x:c>
      <x:c r="E2" s="4" t="str">
        <x:v>Plan Access</x:v>
      </x:c>
      <x:c r="F2" s="4" t="str">
        <x:v>Plan Access</x:v>
      </x:c>
      <x:c r="G2" s="4" t="str">
        <x:v>Plan Access</x:v>
      </x:c>
      <x:c r="H2" s="2"/>
    </x:row>
    <x:row r="3" ht="23" customHeight="1">
      <x:c r="A3" s="2"/>
      <x:c r="B3" s="5"/>
      <x:c r="C3" s="5"/>
      <x:c r="D3" s="5"/>
      <x:c r="E3" s="5"/>
      <x:c r="F3" s="5"/>
      <x:c r="G3" s="5"/>
      <x:c r="H3" s="2"/>
    </x:row>
    <x:row r="4" ht="23" customHeight="1">
      <x:c r="A4" s="2"/>
      <x:c r="B4" s="26" t="str">
        <x:v>WEAK / LOW PRIORITY</x:v>
      </x:c>
      <x:c r="C4" s="26" t="str">
        <x:v>WEAK / LOW PRIORITY</x:v>
      </x:c>
      <x:c r="D4" s="26" t="str">
        <x:v>WEAK / LOW PRIORITY</x:v>
      </x:c>
      <x:c r="E4" s="26" t="str">
        <x:v>WEAK / LOW PRIORITY</x:v>
      </x:c>
      <x:c r="F4" s="26" t="str">
        <x:v>WEAK / LOW PRIORITY</x:v>
      </x:c>
      <x:c r="G4" s="26" t="str">
        <x:v>WEAK / LOW PRIORITY</x:v>
      </x:c>
      <x:c r="H4" s="2"/>
    </x:row>
    <x:row r="5" ht="23" customHeight="1">
      <x:c r="A5" s="2"/>
      <x:c r="B5" s="12" t="str">
        <x:v>Source: supplied NT1 trend-analysis brief. Aggregates have not been rerun against warehouse data.</x:v>
      </x:c>
      <x:c r="C5" s="12" t="str">
        <x:v>Source: supplied NT1 trend-analysis brief. Aggregates have not been rerun against warehouse data.</x:v>
      </x:c>
      <x:c r="D5" s="12" t="str">
        <x:v>Source: supplied NT1 trend-analysis brief. Aggregates have not been rerun against warehouse data.</x:v>
      </x:c>
      <x:c r="E5" s="12" t="str">
        <x:v>Source: supplied NT1 trend-analysis brief. Aggregates have not been rerun against warehouse data.</x:v>
      </x:c>
      <x:c r="F5" s="12" t="str">
        <x:v>Source: supplied NT1 trend-analysis brief. Aggregates have not been rerun against warehouse data.</x:v>
      </x:c>
      <x:c r="G5" s="12" t="str">
        <x:v>Source: supplied NT1 trend-analysis brief. Aggregates have not been rerun against warehouse data.</x:v>
      </x:c>
      <x:c r="H5" s="2"/>
    </x:row>
    <x:row r="6" ht="32" customHeight="1">
      <x:c r="A6" s="2"/>
      <x:c r="B6" s="12" t="str">
        <x:v>RESP 0: no initiation in the next 90 days with required observation. RESP 1: first advanced-therapy initiation in that window.</x:v>
      </x:c>
      <x:c r="C6" s="12" t="str">
        <x:v>RESP 0: no initiation in the next 90 days with required observation. RESP 1: first advanced-therapy initiation in that window.</x:v>
      </x:c>
      <x:c r="D6" s="12" t="str">
        <x:v>RESP 0: no initiation in the next 90 days with required observation. RESP 1: first advanced-therapy initiation in that window.</x:v>
      </x:c>
      <x:c r="E6" s="12" t="str">
        <x:v>RESP 0: no initiation in the next 90 days with required observation. RESP 1: first advanced-therapy initiation in that window.</x:v>
      </x:c>
      <x:c r="F6" s="12" t="str">
        <x:v>RESP 0: no initiation in the next 90 days with required observation. RESP 1: first advanced-therapy initiation in that window.</x:v>
      </x:c>
      <x:c r="G6" s="12" t="str">
        <x:v>RESP 0: no initiation in the next 90 days with required observation. RESP 1: first advanced-therapy initiation in that window.</x:v>
      </x:c>
      <x:c r="H6" s="2"/>
    </x:row>
    <x:row r="7" ht="23" customHeight="1">
      <x:c r="A7" s="2"/>
      <x:c r="B7" s="2"/>
      <x:c r="C7" s="2"/>
      <x:c r="D7" s="2"/>
      <x:c r="E7" s="2"/>
      <x:c r="F7" s="2"/>
      <x:c r="G7" s="2"/>
      <x:c r="H7" s="2"/>
    </x:row>
    <x:row r="8" ht="38" customHeight="1">
      <x:c r="A8" s="2"/>
      <x:c r="B8" s="16" t="str">
        <x:v>Metric</x:v>
      </x:c>
      <x:c r="C8" s="16" t="str">
        <x:v>RESP 0</x:v>
      </x:c>
      <x:c r="D8" s="16" t="str">
        <x:v>RESP 1</x:v>
      </x:c>
      <x:c r="E8" s="16" t="str">
        <x:v>Difference</x:v>
      </x:c>
      <x:c r="F8" s="16" t="str">
        <x:v>Unit</x:v>
      </x:c>
      <x:c r="G8" s="16" t="str">
        <x:v>Explanation</x:v>
      </x:c>
      <x:c r="H8" s="2"/>
    </x:row>
    <x:row r="9" ht="32" customHeight="1">
      <x:c r="A9" s="2"/>
      <x:c r="B9" s="13" t="str">
        <x:v>SNAPSHOTS</x:v>
      </x:c>
      <x:c r="C9" s="34" t="n">
        <x:v>1266881</x:v>
      </x:c>
      <x:c r="D9" s="34" t="n">
        <x:v>8980</x:v>
      </x:c>
      <x:c r="E9" s="35" t="n">
        <x:f>D9-C9</x:f>
        <x:v>-1257901</x:v>
      </x:c>
      <x:c r="F9" s="13" t="str">
        <x:v>count</x:v>
      </x:c>
      <x:c r="G9" s="13" t="str">
        <x:v>Patient-snapshots</x:v>
      </x:c>
      <x:c r="H9" s="2"/>
    </x:row>
    <x:row r="10" ht="32" customHeight="1">
      <x:c r="A10" s="2"/>
      <x:c r="B10" s="13" t="str">
        <x:v>PATIENTS</x:v>
      </x:c>
      <x:c r="C10" s="34" t="n">
        <x:v>42635</x:v>
      </x:c>
      <x:c r="D10" s="34" t="n">
        <x:v>8980</x:v>
      </x:c>
      <x:c r="E10" s="35" t="n">
        <x:f>D10-C10</x:f>
        <x:v>-33655</x:v>
      </x:c>
      <x:c r="F10" s="13" t="str">
        <x:v>count</x:v>
      </x:c>
      <x:c r="G10" s="13" t="str">
        <x:v>Distinct patients within this analysis</x:v>
      </x:c>
      <x:c r="H10" s="2"/>
    </x:row>
    <x:row r="11" ht="32" customHeight="1">
      <x:c r="A11" s="2"/>
      <x:c r="B11" s="13" t="str">
        <x:v>AVG_DISTINCT_PLANS_270D</x:v>
      </x:c>
      <x:c r="C11" s="36" t="n">
        <x:v>2.68</x:v>
      </x:c>
      <x:c r="D11" s="36" t="n">
        <x:v>2.67</x:v>
      </x:c>
      <x:c r="E11" s="37" t="n">
        <x:f>D11-C11</x:f>
        <x:v>-0.010000000000000231</x:v>
      </x:c>
      <x:c r="F11" s="13" t="str">
        <x:v>source units</x:v>
      </x:c>
      <x:c r="G11" s="13" t="str">
        <x:v>Average distinct plans</x:v>
      </x:c>
      <x:c r="H11" s="2"/>
    </x:row>
    <x:row r="12" ht="32" customHeight="1">
      <x:c r="A12" s="2"/>
      <x:c r="B12" s="13" t="str">
        <x:v>AVG_DISTINCT_PLANS_90D</x:v>
      </x:c>
      <x:c r="C12" s="36" t="n">
        <x:v>1.7</x:v>
      </x:c>
      <x:c r="D12" s="36" t="n">
        <x:v>1.71</x:v>
      </x:c>
      <x:c r="E12" s="37" t="n">
        <x:f>D12-C12</x:f>
        <x:v>0.010000000000000009</x:v>
      </x:c>
      <x:c r="F12" s="13" t="str">
        <x:v>source units</x:v>
      </x:c>
      <x:c r="G12" s="13" t="str">
        <x:v>Average distinct plans</x:v>
      </x:c>
      <x:c r="H12" s="2"/>
    </x:row>
    <x:row r="13" ht="32" customHeight="1">
      <x:c r="A13" s="2"/>
      <x:c r="B13" s="13" t="str">
        <x:v>AVG_DISTINCT_PLANS_30D</x:v>
      </x:c>
      <x:c r="C13" s="36" t="n">
        <x:v>1.16</x:v>
      </x:c>
      <x:c r="D13" s="36" t="n">
        <x:v>1.18</x:v>
      </x:c>
      <x:c r="E13" s="37" t="n">
        <x:f>D13-C13</x:f>
        <x:v>0.020000000000000018</x:v>
      </x:c>
      <x:c r="F13" s="13" t="str">
        <x:v>source units</x:v>
      </x:c>
      <x:c r="G13" s="13" t="str">
        <x:v>Average distinct plans</x:v>
      </x:c>
      <x:c r="H13" s="2"/>
    </x:row>
    <x:row r="14" ht="32" customHeight="1">
      <x:c r="A14" s="2"/>
      <x:c r="B14" s="13" t="str">
        <x:v>AVG_PLAN_CHANGES_270D</x:v>
      </x:c>
      <x:c r="C14" s="36" t="n">
        <x:v>5.23</x:v>
      </x:c>
      <x:c r="D14" s="36" t="n">
        <x:v>4.98</x:v>
      </x:c>
      <x:c r="E14" s="37" t="n">
        <x:f>D14-C14</x:f>
        <x:v>-0.25</x:v>
      </x:c>
      <x:c r="F14" s="13" t="str">
        <x:v>source units</x:v>
      </x:c>
      <x:c r="G14" s="13" t="str">
        <x:v>Average changes</x:v>
      </x:c>
      <x:c r="H14" s="2"/>
    </x:row>
    <x:row r="15" ht="32" customHeight="1">
      <x:c r="A15" s="2"/>
      <x:c r="B15" s="13" t="str">
        <x:v>AVG_PLAN_CHANGES_90D</x:v>
      </x:c>
      <x:c r="C15" s="36" t="n">
        <x:v>1.81</x:v>
      </x:c>
      <x:c r="D15" s="36" t="n">
        <x:v>1.78</x:v>
      </x:c>
      <x:c r="E15" s="37" t="n">
        <x:f>D15-C15</x:f>
        <x:v>-0.030000000000000027</x:v>
      </x:c>
      <x:c r="F15" s="13" t="str">
        <x:v>source units</x:v>
      </x:c>
      <x:c r="G15" s="13" t="str">
        <x:v>Average changes</x:v>
      </x:c>
      <x:c r="H15" s="2"/>
    </x:row>
    <x:row r="16" ht="32" customHeight="1">
      <x:c r="A16" s="2"/>
      <x:c r="B16" s="13" t="str">
        <x:v>AVG_PLAN_CHANGES_30D</x:v>
      </x:c>
      <x:c r="C16" s="36" t="n">
        <x:v>0.6</x:v>
      </x:c>
      <x:c r="D16" s="36" t="n">
        <x:v>0.6</x:v>
      </x:c>
      <x:c r="E16" s="37" t="n">
        <x:f>D16-C16</x:f>
        <x:v>0</x:v>
      </x:c>
      <x:c r="F16" s="13" t="str">
        <x:v>source units</x:v>
      </x:c>
      <x:c r="G16" s="13" t="str">
        <x:v>Average changes</x:v>
      </x:c>
      <x:c r="H16" s="2"/>
    </x:row>
    <x:row r="17" ht="32" customHeight="1">
      <x:c r="A17" s="2"/>
      <x:c r="B17" s="13" t="str">
        <x:v>PCT_WITH_PLAN_CHANGE_90D</x:v>
      </x:c>
      <x:c r="C17" s="38" t="n">
        <x:v>0.43</x:v>
      </x:c>
      <x:c r="D17" s="38" t="n">
        <x:v>0.432</x:v>
      </x:c>
      <x:c r="E17" s="39" t="n">
        <x:f>(D17-C17)*100</x:f>
        <x:v>0.20000000000000018</x:v>
      </x:c>
      <x:c r="F17" s="13" t="str">
        <x:v>pp</x:v>
      </x:c>
      <x:c r="G17" s="13" t="str">
        <x:v>Share with a plan change</x:v>
      </x:c>
      <x:c r="H17" s="2"/>
    </x:row>
    <x:row r="18" ht="32" customHeight="1">
      <x:c r="A18" s="2"/>
      <x:c r="B18" s="13" t="str">
        <x:v>PCT_WITH_PLAN_CHANGE_30D</x:v>
      </x:c>
      <x:c r="C18" s="38" t="n">
        <x:v>0.271</x:v>
      </x:c>
      <x:c r="D18" s="38" t="n">
        <x:v>0.268</x:v>
      </x:c>
      <x:c r="E18" s="39" t="n">
        <x:f>(D18-C18)*100</x:f>
        <x:v>-0.30000000000000027</x:v>
      </x:c>
      <x:c r="F18" s="13" t="str">
        <x:v>pp</x:v>
      </x:c>
      <x:c r="G18" s="13" t="str">
        <x:v>Share with a plan change</x:v>
      </x:c>
      <x:c r="H18" s="2"/>
    </x:row>
    <x:row r="19" ht="32" customHeight="1">
      <x:c r="A19" s="2"/>
      <x:c r="B19" s="13" t="str">
        <x:v>MEDIAN_DAYS_SINCE_PLAN_LINKED_RX</x:v>
      </x:c>
      <x:c r="C19" s="40" t="n">
        <x:v>8</x:v>
      </x:c>
      <x:c r="D19" s="40" t="n">
        <x:v>8</x:v>
      </x:c>
      <x:c r="E19" s="35" t="n">
        <x:f>D19-C19</x:f>
        <x:v>0</x:v>
      </x:c>
      <x:c r="F19" s="13" t="str">
        <x:v>days</x:v>
      </x:c>
      <x:c r="G19" s="13" t="str">
        <x:v>Median days</x:v>
      </x:c>
      <x:c r="H19" s="2"/>
    </x:row>
    <x:row r="20" ht="23" customHeight="1">
      <x:c r="A20" s="2"/>
      <x:c r="B20" s="2"/>
      <x:c r="C20" s="2"/>
      <x:c r="D20" s="2"/>
      <x:c r="E20" s="2"/>
      <x:c r="F20" s="2"/>
      <x:c r="G20" s="2"/>
      <x:c r="H20" s="2"/>
    </x:row>
    <x:row r="21" ht="30" customHeight="1">
      <x:c r="A21" s="2"/>
      <x:c r="B21" s="12" t="str">
        <x:v>Difference = RESP 1 − RESP 0. Percentage rows use percentage points (pp); other rows use the source unit.</x:v>
      </x:c>
      <x:c r="C21" s="12" t="str">
        <x:v>Difference = RESP 1 − RESP 0. Percentage rows use percentage points (pp); other rows use the source unit.</x:v>
      </x:c>
      <x:c r="D21" s="12" t="str">
        <x:v>Difference = RESP 1 − RESP 0. Percentage rows use percentage points (pp); other rows use the source unit.</x:v>
      </x:c>
      <x:c r="E21" s="12" t="str">
        <x:v>Difference = RESP 1 − RESP 0. Percentage rows use percentage points (pp); other rows use the source unit.</x:v>
      </x:c>
      <x:c r="F21" s="12" t="str">
        <x:v>Difference = RESP 1 − RESP 0. Percentage rows use percentage points (pp); other rows use the source unit.</x:v>
      </x:c>
      <x:c r="G21" s="12" t="str">
        <x:v>Difference = RESP 1 − RESP 0. Percentage rows use percentage points (pp); other rows use the source unit.</x:v>
      </x:c>
      <x:c r="H21" s="2"/>
    </x:row>
    <x:row r="22" ht="23" customHeight="1">
      <x:c r="A22" s="2"/>
      <x:c r="B22" s="2"/>
      <x:c r="C22" s="2"/>
      <x:c r="D22" s="2"/>
      <x:c r="E22" s="2"/>
      <x:c r="F22" s="2"/>
      <x:c r="G22" s="2"/>
      <x:c r="H22" s="2"/>
    </x:row>
    <x:row r="23" ht="23" customHeight="1">
      <x:c r="A23" s="2"/>
      <x:c r="B23" s="8" t="str">
        <x:v>Descriptive finding</x:v>
      </x:c>
      <x:c r="C23" s="8" t="str">
        <x:v>Descriptive finding</x:v>
      </x:c>
      <x:c r="D23" s="8" t="str">
        <x:v>Descriptive finding</x:v>
      </x:c>
      <x:c r="E23" s="8" t="str">
        <x:v>Descriptive finding</x:v>
      </x:c>
      <x:c r="F23" s="8" t="str">
        <x:v>Descriptive finding</x:v>
      </x:c>
      <x:c r="G23" s="8" t="str">
        <x:v>Descriptive finding</x:v>
      </x:c>
      <x:c r="H23" s="2"/>
    </x:row>
    <x:row r="24" ht="44" customHeight="1">
      <x:c r="A24" s="2"/>
      <x:c r="B24" s="10" t="str">
        <x:v>Plan-related treatment patterns were highly similar between future initiators and non-initiators. Plan diversity, plan changes and recency showed minimal separation.</x:v>
      </x:c>
      <x:c r="C24" s="10" t="str">
        <x:v>Plan-related treatment patterns were highly similar between future initiators and non-initiators. Plan diversity, plan changes and recency showed minimal separation.</x:v>
      </x:c>
      <x:c r="D24" s="10" t="str">
        <x:v>Plan-related treatment patterns were highly similar between future initiators and non-initiators. Plan diversity, plan changes and recency showed minimal separation.</x:v>
      </x:c>
      <x:c r="E24" s="10" t="str">
        <x:v>Plan-related treatment patterns were highly similar between future initiators and non-initiators. Plan diversity, plan changes and recency showed minimal separation.</x:v>
      </x:c>
      <x:c r="F24" s="10" t="str">
        <x:v>Plan-related treatment patterns were highly similar between future initiators and non-initiators. Plan diversity, plan changes and recency showed minimal separation.</x:v>
      </x:c>
      <x:c r="G24" s="10" t="str">
        <x:v>Plan-related treatment patterns were highly similar between future initiators and non-initiators. Plan diversity, plan changes and recency showed minimal separation.</x:v>
      </x:c>
      <x:c r="H24" s="2"/>
    </x:row>
    <x:row r="25" ht="23" customHeight="1">
      <x:c r="A25" s="2"/>
      <x:c r="B25" s="2"/>
      <x:c r="C25" s="2"/>
      <x:c r="D25" s="2"/>
      <x:c r="E25" s="2"/>
      <x:c r="F25" s="2"/>
      <x:c r="G25" s="2"/>
      <x:c r="H25" s="2"/>
    </x:row>
    <x:row r="26" ht="23" customHeight="1">
      <x:c r="A26" s="2"/>
      <x:c r="B26" s="8" t="str">
        <x:v>Model implication</x:v>
      </x:c>
      <x:c r="C26" s="8" t="str">
        <x:v>Model implication</x:v>
      </x:c>
      <x:c r="D26" s="8" t="str">
        <x:v>Model implication</x:v>
      </x:c>
      <x:c r="E26" s="8" t="str">
        <x:v>Model implication</x:v>
      </x:c>
      <x:c r="F26" s="8" t="str">
        <x:v>Model implication</x:v>
      </x:c>
      <x:c r="G26" s="8" t="str">
        <x:v>Model implication</x:v>
      </x:c>
      <x:c r="H26" s="2"/>
    </x:row>
    <x:row r="27" ht="44" customHeight="1">
      <x:c r="A27" s="2"/>
      <x:c r="B27" s="10" t="str">
        <x:v>Keep plan dynamics lower priority. Include them as a separate ablation group only after stronger treatment and clinical-context candidates.</x:v>
      </x:c>
      <x:c r="C27" s="10" t="str">
        <x:v>Keep plan dynamics lower priority. Include them as a separate ablation group only after stronger treatment and clinical-context candidates.</x:v>
      </x:c>
      <x:c r="D27" s="10" t="str">
        <x:v>Keep plan dynamics lower priority. Include them as a separate ablation group only after stronger treatment and clinical-context candidates.</x:v>
      </x:c>
      <x:c r="E27" s="10" t="str">
        <x:v>Keep plan dynamics lower priority. Include them as a separate ablation group only after stronger treatment and clinical-context candidates.</x:v>
      </x:c>
      <x:c r="F27" s="10" t="str">
        <x:v>Keep plan dynamics lower priority. Include them as a separate ablation group only after stronger treatment and clinical-context candidates.</x:v>
      </x:c>
      <x:c r="G27" s="10" t="str">
        <x:v>Keep plan dynamics lower priority. Include them as a separate ablation group only after stronger treatment and clinical-context candidates.</x:v>
      </x:c>
      <x:c r="H27" s="2"/>
    </x:row>
    <x:row r="28" ht="23" customHeight="1">
      <x:c r="A28" s="2"/>
      <x:c r="B28" s="2"/>
      <x:c r="C28" s="2"/>
      <x:c r="D28" s="2"/>
      <x:c r="E28" s="2"/>
      <x:c r="F28" s="2"/>
      <x:c r="G28" s="2"/>
      <x:c r="H28" s="2"/>
    </x:row>
    <x:row r="29" ht="23" customHeight="1">
      <x:c r="A29" s="2"/>
      <x:c r="B29" s="2"/>
      <x:c r="C29" s="2"/>
      <x:c r="D29" s="2"/>
      <x:c r="E29" s="2"/>
      <x:c r="F29" s="2"/>
      <x:c r="G29" s="2"/>
      <x:c r="H29" s="2"/>
    </x:row>
    <x:row r="30" ht="23" customHeight="1">
      <x:c r="A30" s="2"/>
      <x:c r="B30" s="2"/>
      <x:c r="C30" s="2"/>
      <x:c r="D30" s="2"/>
      <x:c r="E30" s="2"/>
      <x:c r="F30" s="2"/>
      <x:c r="G30" s="2"/>
      <x:c r="H30" s="2"/>
    </x:row>
    <x:row r="31" ht="23" customHeight="1">
      <x:c r="A31" s="2"/>
      <x:c r="B31" s="8" t="str">
        <x:v>How to read the numbers</x:v>
      </x:c>
      <x:c r="C31" s="8" t="str">
        <x:v>How to read the numbers</x:v>
      </x:c>
      <x:c r="D31" s="8" t="str">
        <x:v>How to read the numbers</x:v>
      </x:c>
      <x:c r="E31" s="8" t="str">
        <x:v>How to read the numbers</x:v>
      </x:c>
      <x:c r="F31" s="8" t="str">
        <x:v>How to read the numbers</x:v>
      </x:c>
      <x:c r="G31" s="8" t="str">
        <x:v>How to read the numbers</x:v>
      </x:c>
      <x:c r="H31" s="2"/>
    </x:row>
    <x:row r="32" ht="42" customHeight="1">
      <x:c r="A32" s="2"/>
      <x:c r="B32" s="10" t="str">
        <x:v>A 90-day plan change was observed in 43.0% vs 43.2% (+0.2 pp). Median days since plan-linked RX were 8 in both groups. Differences at this scale do not establish predictive value.</x:v>
      </x:c>
      <x:c r="C32" s="10" t="str">
        <x:v>A 90-day plan change was observed in 43.0% vs 43.2% (+0.2 pp). Median days since plan-linked RX were 8 in both groups. Differences at this scale do not establish predictive value.</x:v>
      </x:c>
      <x:c r="D32" s="10" t="str">
        <x:v>A 90-day plan change was observed in 43.0% vs 43.2% (+0.2 pp). Median days since plan-linked RX were 8 in both groups. Differences at this scale do not establish predictive value.</x:v>
      </x:c>
      <x:c r="E32" s="10" t="str">
        <x:v>A 90-day plan change was observed in 43.0% vs 43.2% (+0.2 pp). Median days since plan-linked RX were 8 in both groups. Differences at this scale do not establish predictive value.</x:v>
      </x:c>
      <x:c r="F32" s="10" t="str">
        <x:v>A 90-day plan change was observed in 43.0% vs 43.2% (+0.2 pp). Median days since plan-linked RX were 8 in both groups. Differences at this scale do not establish predictive value.</x:v>
      </x:c>
      <x:c r="G32" s="10" t="str">
        <x:v>A 90-day plan change was observed in 43.0% vs 43.2% (+0.2 pp). Median days since plan-linked RX were 8 in both groups. Differences at this scale do not establish predictive value.</x:v>
      </x:c>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sheetData>
  <x:mergeCells>
    <x:mergeCell ref="B2:G2"/>
    <x:mergeCell ref="B4:G4"/>
    <x:mergeCell ref="B5:G5"/>
    <x:mergeCell ref="B6:G6"/>
    <x:mergeCell ref="B21:G21"/>
    <x:mergeCell ref="B23:G23"/>
    <x:mergeCell ref="B24:G24"/>
    <x:mergeCell ref="B26:G26"/>
    <x:mergeCell ref="B27:G27"/>
    <x:mergeCell ref="B31:G31"/>
    <x:mergeCell ref="B32:G32"/>
  </x:mergeCells>
  <x:conditionalFormatting sqref="B4:G4">
    <x:cfRule type="containsText" dxfId="25" priority="1" operator="containsText" text="STRONG"/>
    <x:cfRule type="containsText" dxfId="26" priority="2" operator="containsText" text="PROMISING"/>
    <x:cfRule type="containsText" dxfId="27" priority="3" operator="containsText" text="WEAK"/>
    <x:cfRule type="containsText" dxfId="28" priority="4" operator="containsText" text="Needs Validation"/>
    <x:cfRule type="containsText" dxfId="29" priority="5" operator="containsText" text="Missing"/>
  </x:conditionalFormatting>
  <x:pageMargins left="0.7" right="0.7" top="0.75" bottom="0.75" header="0.3" footer="0.3"/>
  <x:tableParts count="1">
    <x:tablePart xmlns:r="http://schemas.openxmlformats.org/officeDocument/2006/relationships" r:id="R4434b52e0265461d"/>
  </x:tableParts>
</x:worksheet>
</file>

<file path=xl/worksheets/sheet9.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21.8799991607666" hidden="0" customWidth="1"/>
    <x:col min="3" max="3" width="45" hidden="0" customWidth="1"/>
    <x:col min="4" max="4" width="18.1299991607666" hidden="0" customWidth="1"/>
    <x:col min="5" max="5" width="24.3799991607666" hidden="0" customWidth="1"/>
    <x:col min="6" max="6" width="48.75" hidden="0" customWidth="1"/>
    <x:col min="7" max="7" width="2.5" hidden="0" customWidth="1"/>
    <x:col min="8" max="8" width="3" hidden="0" customWidth="1"/>
  </x:cols>
  <x:sheetData>
    <x:row r="1" ht="23" customHeight="1">
      <x:c r="A1" s="2"/>
      <x:c r="B1" s="2"/>
      <x:c r="C1" s="2"/>
      <x:c r="D1" s="2"/>
      <x:c r="E1" s="2"/>
      <x:c r="F1" s="2"/>
      <x:c r="G1" s="2"/>
      <x:c r="H1" s="2"/>
    </x:row>
    <x:row r="2" ht="32" customHeight="1">
      <x:c r="A2" s="2"/>
      <x:c r="B2" s="4" t="str">
        <x:v>Existing Feature Inventory</x:v>
      </x:c>
      <x:c r="C2" s="4" t="str">
        <x:v>Existing Feature Inventory</x:v>
      </x:c>
      <x:c r="D2" s="4" t="str">
        <x:v>Existing Feature Inventory</x:v>
      </x:c>
      <x:c r="E2" s="4" t="str">
        <x:v>Existing Feature Inventory</x:v>
      </x:c>
      <x:c r="F2" s="4" t="str">
        <x:v>Existing Feature Inventory</x:v>
      </x:c>
      <x:c r="G2" s="4" t="str">
        <x:v>Existing Feature Inventory</x:v>
      </x:c>
      <x:c r="H2" s="2"/>
    </x:row>
    <x:row r="3" ht="23" customHeight="1">
      <x:c r="A3" s="2"/>
      <x:c r="B3" s="5"/>
      <x:c r="C3" s="5"/>
      <x:c r="D3" s="5"/>
      <x:c r="E3" s="5"/>
      <x:c r="F3" s="5"/>
      <x:c r="G3" s="5"/>
      <x:c r="H3" s="2"/>
    </x:row>
    <x:row r="4" ht="23" customHeight="1">
      <x:c r="A4" s="2"/>
      <x:c r="B4" s="8" t="str">
        <x:v>Inventory scope</x:v>
      </x:c>
      <x:c r="C4" s="8" t="str">
        <x:v>Inventory scope</x:v>
      </x:c>
      <x:c r="D4" s="8" t="str">
        <x:v>Inventory scope</x:v>
      </x:c>
      <x:c r="E4" s="8" t="str">
        <x:v>Inventory scope</x:v>
      </x:c>
      <x:c r="F4" s="8" t="str">
        <x:v>Inventory scope</x:v>
      </x:c>
      <x:c r="G4" s="8" t="str">
        <x:v>Inventory scope</x:v>
      </x:c>
      <x:c r="H4" s="2"/>
    </x:row>
    <x:row r="5" ht="48" customHeight="1">
      <x:c r="A5" s="2"/>
      <x:c r="B5" s="10" t="str">
        <x:v>Supplied examples describe the existing NT1 feature set. Repository entries describe the separate benchmark implementation. Similar names do not establish equivalent definitions or inclusion in the NT1 baseline.</x:v>
      </x:c>
      <x:c r="C5" s="10" t="str">
        <x:v>Supplied examples describe the existing NT1 feature set. Repository entries describe the separate benchmark implementation. Similar names do not establish equivalent definitions or inclusion in the NT1 baseline.</x:v>
      </x:c>
      <x:c r="D5" s="10" t="str">
        <x:v>Supplied examples describe the existing NT1 feature set. Repository entries describe the separate benchmark implementation. Similar names do not establish equivalent definitions or inclusion in the NT1 baseline.</x:v>
      </x:c>
      <x:c r="E5" s="10" t="str">
        <x:v>Supplied examples describe the existing NT1 feature set. Repository entries describe the separate benchmark implementation. Similar names do not establish equivalent definitions or inclusion in the NT1 baseline.</x:v>
      </x:c>
      <x:c r="F5" s="10" t="str">
        <x:v>Supplied examples describe the existing NT1 feature set. Repository entries describe the separate benchmark implementation. Similar names do not establish equivalent definitions or inclusion in the NT1 baseline.</x:v>
      </x:c>
      <x:c r="G5" s="10" t="str">
        <x:v>Supplied examples describe the existing NT1 feature set. Repository entries describe the separate benchmark implementation. Similar names do not establish equivalent definitions or inclusion in the NT1 baseline.</x:v>
      </x:c>
      <x:c r="H5" s="2"/>
    </x:row>
    <x:row r="6" ht="23" customHeight="1">
      <x:c r="A6" s="2"/>
      <x:c r="B6" s="2"/>
      <x:c r="C6" s="2"/>
      <x:c r="D6" s="2"/>
      <x:c r="E6" s="2"/>
      <x:c r="F6" s="2"/>
      <x:c r="G6" s="2"/>
      <x:c r="H6" s="2"/>
    </x:row>
    <x:row r="7" ht="23" customHeight="1">
      <x:c r="A7" s="2"/>
      <x:c r="B7" s="2"/>
      <x:c r="C7" s="2"/>
      <x:c r="D7" s="2"/>
      <x:c r="E7" s="2"/>
      <x:c r="F7" s="2"/>
      <x:c r="G7" s="2"/>
      <x:c r="H7" s="2"/>
    </x:row>
    <x:row r="8" ht="38" customHeight="1">
      <x:c r="A8" s="2"/>
      <x:c r="B8" s="16" t="str">
        <x:v>Group</x:v>
      </x:c>
      <x:c r="C8" s="16" t="str">
        <x:v>Feature / family</x:v>
      </x:c>
      <x:c r="D8" s="16" t="str">
        <x:v>Status</x:v>
      </x:c>
      <x:c r="E8" s="16" t="str">
        <x:v>Source scope</x:v>
      </x:c>
      <x:c r="F8" s="16" t="str">
        <x:v>Definition / Notes</x:v>
      </x:c>
      <x:c r="G8" s="2"/>
      <x:c r="H8" s="2"/>
    </x:row>
    <x:row r="9" ht="58" customHeight="1">
      <x:c r="A9" s="2"/>
      <x:c r="B9" s="13" t="str">
        <x:v>Diagnosis</x:v>
      </x:c>
      <x:c r="C9" s="13" t="str">
        <x:v>DX_sleep_wake_disorders</x:v>
      </x:c>
      <x:c r="D9" s="13" t="str">
        <x:v>Existing</x:v>
      </x:c>
      <x:c r="E9" s="13" t="str">
        <x:v>Supplied brief</x:v>
      </x:c>
      <x:c r="F9" s="13" t="str">
        <x:v>Named existing feature example; exact construction needs review.</x:v>
      </x:c>
      <x:c r="G9" s="2"/>
      <x:c r="H9" s="2"/>
    </x:row>
    <x:row r="10" ht="58" customHeight="1">
      <x:c r="A10" s="2"/>
      <x:c r="B10" s="13" t="str">
        <x:v>Diagnosis</x:v>
      </x:c>
      <x:c r="C10" s="13" t="str">
        <x:v>DX_other_specified_status</x:v>
      </x:c>
      <x:c r="D10" s="13" t="str">
        <x:v>Existing</x:v>
      </x:c>
      <x:c r="E10" s="13" t="str">
        <x:v>Supplied brief</x:v>
      </x:c>
      <x:c r="F10" s="13" t="str">
        <x:v>Named existing feature example; exact construction needs review.</x:v>
      </x:c>
      <x:c r="G10" s="2"/>
      <x:c r="H10" s="2"/>
    </x:row>
    <x:row r="11" ht="58" customHeight="1">
      <x:c r="A11" s="2"/>
      <x:c r="B11" s="13" t="str">
        <x:v>Diagnosis</x:v>
      </x:c>
      <x:c r="C11" s="13" t="str">
        <x:v>DX_Medical_examination_evaluation</x:v>
      </x:c>
      <x:c r="D11" s="13" t="str">
        <x:v>Existing</x:v>
      </x:c>
      <x:c r="E11" s="13" t="str">
        <x:v>Supplied brief</x:v>
      </x:c>
      <x:c r="F11" s="13" t="str">
        <x:v>Named existing feature example; exact construction needs review.</x:v>
      </x:c>
      <x:c r="G11" s="2"/>
      <x:c r="H11" s="2"/>
    </x:row>
    <x:row r="12" ht="58" customHeight="1">
      <x:c r="A12" s="2"/>
      <x:c r="B12" s="13" t="str">
        <x:v>Diagnosis</x:v>
      </x:c>
      <x:c r="C12" s="13" t="str">
        <x:v>DX_Musculoskeletal_pain_not_low_back_pain</x:v>
      </x:c>
      <x:c r="D12" s="13" t="str">
        <x:v>Existing</x:v>
      </x:c>
      <x:c r="E12" s="13" t="str">
        <x:v>Supplied brief</x:v>
      </x:c>
      <x:c r="F12" s="13" t="str">
        <x:v>Named existing feature example; exact construction needs review.</x:v>
      </x:c>
      <x:c r="G12" s="2"/>
      <x:c r="H12" s="2"/>
    </x:row>
    <x:row r="13" ht="58" customHeight="1">
      <x:c r="A13" s="2"/>
      <x:c r="B13" s="13" t="str">
        <x:v>Diagnosis</x:v>
      </x:c>
      <x:c r="C13" s="13" t="str">
        <x:v>DX_Respiratory_signs_and_symptoms</x:v>
      </x:c>
      <x:c r="D13" s="13" t="str">
        <x:v>Existing</x:v>
      </x:c>
      <x:c r="E13" s="13" t="str">
        <x:v>Supplied brief</x:v>
      </x:c>
      <x:c r="F13" s="13" t="str">
        <x:v>Named existing feature example; exact construction needs review.</x:v>
      </x:c>
      <x:c r="G13" s="2"/>
      <x:c r="H13" s="2"/>
    </x:row>
    <x:row r="14" ht="58" customHeight="1">
      <x:c r="A14" s="2"/>
      <x:c r="B14" s="13" t="str">
        <x:v>Diagnosis</x:v>
      </x:c>
      <x:c r="C14" s="13" t="str">
        <x:v>DX_Abnormal_findings_without_diagnosis</x:v>
      </x:c>
      <x:c r="D14" s="13" t="str">
        <x:v>Existing</x:v>
      </x:c>
      <x:c r="E14" s="13" t="str">
        <x:v>Supplied brief</x:v>
      </x:c>
      <x:c r="F14" s="13" t="str">
        <x:v>Named existing feature example; exact construction needs review.</x:v>
      </x:c>
      <x:c r="G14" s="2"/>
      <x:c r="H14" s="2"/>
    </x:row>
    <x:row r="15" ht="58" customHeight="1">
      <x:c r="A15" s="2"/>
      <x:c r="B15" s="13" t="str">
        <x:v>Diagnosis</x:v>
      </x:c>
      <x:c r="C15" s="13" t="str">
        <x:v>DX_Anxiety_and_fear_related_disorders</x:v>
      </x:c>
      <x:c r="D15" s="13" t="str">
        <x:v>Existing</x:v>
      </x:c>
      <x:c r="E15" s="13" t="str">
        <x:v>Supplied brief</x:v>
      </x:c>
      <x:c r="F15" s="13" t="str">
        <x:v>Named existing feature example; exact construction needs review.</x:v>
      </x:c>
      <x:c r="G15" s="2"/>
      <x:c r="H15" s="2"/>
    </x:row>
    <x:row r="16" ht="58" customHeight="1">
      <x:c r="A16" s="2"/>
      <x:c r="B16" s="13" t="str">
        <x:v>Diagnosis</x:v>
      </x:c>
      <x:c r="C16" s="13" t="str">
        <x:v>DX_Depressive_disorders</x:v>
      </x:c>
      <x:c r="D16" s="13" t="str">
        <x:v>Existing</x:v>
      </x:c>
      <x:c r="E16" s="13" t="str">
        <x:v>Supplied brief</x:v>
      </x:c>
      <x:c r="F16" s="13" t="str">
        <x:v>Named existing feature example; exact construction needs review.</x:v>
      </x:c>
      <x:c r="G16" s="2"/>
      <x:c r="H16" s="2"/>
    </x:row>
    <x:row r="17" ht="58" customHeight="1">
      <x:c r="A17" s="2"/>
      <x:c r="B17" s="13" t="str">
        <x:v>First occurrence</x:v>
      </x:c>
      <x:c r="C17" s="13" t="str">
        <x:v>FIRST_*</x:v>
      </x:c>
      <x:c r="D17" s="13" t="str">
        <x:v>Existing</x:v>
      </x:c>
      <x:c r="E17" s="13" t="str">
        <x:v>Supplied brief</x:v>
      </x:c>
      <x:c r="F17" s="13" t="str">
        <x:v>Feature family pattern; individual members not supplied.</x:v>
      </x:c>
      <x:c r="G17" s="2"/>
      <x:c r="H17" s="2"/>
    </x:row>
    <x:row r="18" ht="58" customHeight="1">
      <x:c r="A18" s="2"/>
      <x:c r="B18" s="13" t="str">
        <x:v>Pharmacy / RX</x:v>
      </x:c>
      <x:c r="C18" s="13" t="str">
        <x:v>RX_VA_CLASS4_*</x:v>
      </x:c>
      <x:c r="D18" s="13" t="str">
        <x:v>Existing</x:v>
      </x:c>
      <x:c r="E18" s="13" t="str">
        <x:v>Supplied brief</x:v>
      </x:c>
      <x:c r="F18" s="13" t="str">
        <x:v>Feature family pattern; individual members not supplied.</x:v>
      </x:c>
      <x:c r="G18" s="2"/>
      <x:c r="H18" s="2"/>
    </x:row>
    <x:row r="19" ht="58" customHeight="1">
      <x:c r="A19" s="2"/>
      <x:c r="B19" s="13" t="str">
        <x:v>Procedure</x:v>
      </x:c>
      <x:c r="C19" s="13" t="str">
        <x:v>PX_LEVEL_1_CPT_*</x:v>
      </x:c>
      <x:c r="D19" s="13" t="str">
        <x:v>Existing</x:v>
      </x:c>
      <x:c r="E19" s="13" t="str">
        <x:v>Supplied brief</x:v>
      </x:c>
      <x:c r="F19" s="13" t="str">
        <x:v>Feature family pattern; individual members not supplied.</x:v>
      </x:c>
      <x:c r="G19" s="2"/>
      <x:c r="H19" s="2"/>
    </x:row>
    <x:row r="20" ht="58" customHeight="1">
      <x:c r="A20" s="2"/>
      <x:c r="B20" s="13" t="str">
        <x:v>Static</x:v>
      </x:c>
      <x:c r="C20" s="13" t="str">
        <x:v>STATIC_avg_active_generics</x:v>
      </x:c>
      <x:c r="D20" s="13" t="str">
        <x:v>Existing</x:v>
      </x:c>
      <x:c r="E20" s="13" t="str">
        <x:v>Supplied brief</x:v>
      </x:c>
      <x:c r="F20" s="13" t="str">
        <x:v>Named existing feature example; exact construction needs review.</x:v>
      </x:c>
      <x:c r="G20" s="2"/>
      <x:c r="H20" s="2"/>
    </x:row>
    <x:row r="21" ht="58" customHeight="1">
      <x:c r="A21" s="2"/>
      <x:c r="B21" s="13" t="str">
        <x:v>Static</x:v>
      </x:c>
      <x:c r="C21" s="13" t="str">
        <x:v>STATIC_max_gap_days</x:v>
      </x:c>
      <x:c r="D21" s="13" t="str">
        <x:v>Existing</x:v>
      </x:c>
      <x:c r="E21" s="13" t="str">
        <x:v>Supplied brief</x:v>
      </x:c>
      <x:c r="F21" s="13" t="str">
        <x:v>Named existing feature example; exact construction needs review.</x:v>
      </x:c>
      <x:c r="G21" s="2"/>
      <x:c r="H21" s="2"/>
    </x:row>
    <x:row r="22" ht="58" customHeight="1">
      <x:c r="A22" s="2"/>
      <x:c r="B22" s="13" t="str">
        <x:v>Static</x:v>
      </x:c>
      <x:c r="C22" s="13" t="str">
        <x:v>STATIC_days_covered</x:v>
      </x:c>
      <x:c r="D22" s="13" t="str">
        <x:v>Existing</x:v>
      </x:c>
      <x:c r="E22" s="13" t="str">
        <x:v>Supplied brief</x:v>
      </x:c>
      <x:c r="F22" s="13" t="str">
        <x:v>Named existing feature example; exact construction needs review.</x:v>
      </x:c>
      <x:c r="G22" s="2"/>
      <x:c r="H22" s="2"/>
    </x:row>
    <x:row r="23" ht="58" customHeight="1">
      <x:c r="A23" s="2"/>
      <x:c r="B23" s="13" t="str">
        <x:v>Therapy sequence</x:v>
      </x:c>
      <x:c r="C23" s="13" t="str">
        <x:v>UTIL_generic_addition_flag</x:v>
      </x:c>
      <x:c r="D23" s="13" t="str">
        <x:v>Existing</x:v>
      </x:c>
      <x:c r="E23" s="13" t="str">
        <x:v>Supplied brief</x:v>
      </x:c>
      <x:c r="F23" s="13" t="str">
        <x:v>Named existing feature example; exact construction needs review.</x:v>
      </x:c>
      <x:c r="G23" s="2"/>
      <x:c r="H23" s="2"/>
    </x:row>
    <x:row r="24" ht="58" customHeight="1">
      <x:c r="A24" s="2"/>
      <x:c r="B24" s="13" t="str">
        <x:v>Therapy sequence</x:v>
      </x:c>
      <x:c r="C24" s="13" t="str">
        <x:v>UTIL_generic_removal_flag</x:v>
      </x:c>
      <x:c r="D24" s="13" t="str">
        <x:v>Existing</x:v>
      </x:c>
      <x:c r="E24" s="13" t="str">
        <x:v>Supplied brief</x:v>
      </x:c>
      <x:c r="F24" s="13" t="str">
        <x:v>Named existing feature example; exact construction needs review.</x:v>
      </x:c>
      <x:c r="G24" s="2"/>
      <x:c r="H24" s="2"/>
    </x:row>
    <x:row r="25" ht="58" customHeight="1">
      <x:c r="A25" s="2"/>
      <x:c r="B25" s="13" t="str">
        <x:v>Therapy sequence</x:v>
      </x:c>
      <x:c r="C25" s="13" t="str">
        <x:v>UTIL_generic_count_change</x:v>
      </x:c>
      <x:c r="D25" s="13" t="str">
        <x:v>Existing</x:v>
      </x:c>
      <x:c r="E25" s="13" t="str">
        <x:v>Supplied brief</x:v>
      </x:c>
      <x:c r="F25" s="13" t="str">
        <x:v>Named existing feature example; exact construction needs review.</x:v>
      </x:c>
      <x:c r="G25" s="2"/>
      <x:c r="H25" s="2"/>
    </x:row>
    <x:row r="26" ht="58" customHeight="1">
      <x:c r="A26" s="2"/>
      <x:c r="B26" s="13" t="str">
        <x:v>Utilization</x:v>
      </x:c>
      <x:c r="C26" s="13" t="str">
        <x:v>UTIL_distinct_procedure_count</x:v>
      </x:c>
      <x:c r="D26" s="13" t="str">
        <x:v>Existing</x:v>
      </x:c>
      <x:c r="E26" s="13" t="str">
        <x:v>Supplied brief</x:v>
      </x:c>
      <x:c r="F26" s="13" t="str">
        <x:v>Named existing feature example; exact construction needs review.</x:v>
      </x:c>
      <x:c r="G26" s="2"/>
      <x:c r="H26" s="2"/>
    </x:row>
    <x:row r="27" ht="58" customHeight="1">
      <x:c r="A27" s="2"/>
      <x:c r="B27" s="13" t="str">
        <x:v>Utilization</x:v>
      </x:c>
      <x:c r="C27" s="13" t="str">
        <x:v>UTIL_medical_claim_count</x:v>
      </x:c>
      <x:c r="D27" s="13" t="str">
        <x:v>Existing</x:v>
      </x:c>
      <x:c r="E27" s="13" t="str">
        <x:v>Supplied brief</x:v>
      </x:c>
      <x:c r="F27" s="13" t="str">
        <x:v>Named existing feature example; exact construction needs review.</x:v>
      </x:c>
      <x:c r="G27" s="2"/>
      <x:c r="H27" s="2"/>
    </x:row>
    <x:row r="28" ht="58" customHeight="1">
      <x:c r="A28" s="2"/>
      <x:c r="B28" s="13" t="str">
        <x:v>Utilization</x:v>
      </x:c>
      <x:c r="C28" s="13" t="str">
        <x:v>UTIL_pharmacy_claim_count</x:v>
      </x:c>
      <x:c r="D28" s="13" t="str">
        <x:v>Existing</x:v>
      </x:c>
      <x:c r="E28" s="13" t="str">
        <x:v>Supplied brief</x:v>
      </x:c>
      <x:c r="F28" s="13" t="str">
        <x:v>Named existing feature example; exact construction needs review.</x:v>
      </x:c>
      <x:c r="G28" s="2"/>
      <x:c r="H28" s="2"/>
    </x:row>
    <x:row r="29" ht="58" customHeight="1">
      <x:c r="A29" s="2"/>
      <x:c r="B29" s="13" t="str">
        <x:v>Static</x:v>
      </x:c>
      <x:c r="C29" s="13" t="str">
        <x:v>age</x:v>
      </x:c>
      <x:c r="D29" s="13" t="str">
        <x:v>Existing</x:v>
      </x:c>
      <x:c r="E29" s="13" t="str">
        <x:v>Repository benchmark inventory</x:v>
      </x:c>
      <x:c r="F29" s="13" t="str">
        <x:v>Assessment year minus birth year; approximate age, not exact birthday age. Source status: Implemented; real-data review pending</x:v>
      </x:c>
      <x:c r="G29" s="2"/>
      <x:c r="H29" s="2"/>
    </x:row>
    <x:row r="30" ht="58" customHeight="1">
      <x:c r="A30" s="2"/>
      <x:c r="B30" s="13" t="str">
        <x:v>Static</x:v>
      </x:c>
      <x:c r="C30" s="13" t="str">
        <x:v>gender</x:v>
      </x:c>
      <x:c r="D30" s="13" t="str">
        <x:v>Existing</x:v>
      </x:c>
      <x:c r="E30" s="13" t="str">
        <x:v>Repository benchmark inventory</x:v>
      </x:c>
      <x:c r="F30" s="13" t="str">
        <x:v>Source category; no inferred value. Historical availability must be reviewed. Source status: Implemented; real-data review pending</x:v>
      </x:c>
      <x:c r="G30" s="2"/>
      <x:c r="H30" s="2"/>
    </x:row>
    <x:row r="31" ht="58" customHeight="1">
      <x:c r="A31" s="2"/>
      <x:c r="B31" s="13" t="str">
        <x:v>Static</x:v>
      </x:c>
      <x:c r="C31" s="13" t="str">
        <x:v>geography</x:v>
      </x:c>
      <x:c r="D31" s="13" t="str">
        <x:v>Existing</x:v>
      </x:c>
      <x:c r="E31" s="13" t="str">
        <x:v>Repository benchmark inventory</x:v>
      </x:c>
      <x:c r="F31" s="13" t="str">
        <x:v>Patient geography when include_geography=true; optional. Source status: Implemented; real-data review pending</x:v>
      </x:c>
      <x:c r="G31" s="2"/>
      <x:c r="H31" s="2"/>
    </x:row>
    <x:row r="32" ht="58" customHeight="1">
      <x:c r="A32" s="2"/>
      <x:c r="B32" s="13" t="str">
        <x:v>Plan / Access</x:v>
      </x:c>
      <x:c r="C32" s="13" t="str">
        <x:v>payer_type</x:v>
      </x:c>
      <x:c r="D32" s="13" t="str">
        <x:v>Existing</x:v>
      </x:c>
      <x:c r="E32" s="13" t="str">
        <x:v>Repository benchmark inventory</x:v>
      </x:c>
      <x:c r="F32" s="13" t="str">
        <x:v>Plan active at assessment; reject unresolved concurrent plans. Source status: Implemented; real-data review pending</x:v>
      </x:c>
      <x:c r="G32" s="2"/>
      <x:c r="H32" s="2"/>
    </x:row>
    <x:row r="33" ht="58" customHeight="1">
      <x:c r="A33" s="2"/>
      <x:c r="B33" s="13" t="str">
        <x:v>Therapy sequence</x:v>
      </x:c>
      <x:c r="C33" s="13" t="str">
        <x:v>current_therapy</x:v>
      </x:c>
      <x:c r="D33" s="13" t="str">
        <x:v>Existing</x:v>
      </x:c>
      <x:c r="E33" s="13" t="str">
        <x:v>Repository benchmark inventory</x:v>
      </x:c>
      <x:c r="F33" s="13" t="str">
        <x:v>Last known paid/final conventional fill, ordered by fill date and claim ID. Source status: Implemented; real-data review pending</x:v>
      </x:c>
      <x:c r="G33" s="2"/>
      <x:c r="H33" s="2"/>
    </x:row>
    <x:row r="34" ht="58" customHeight="1">
      <x:c r="A34" s="2"/>
      <x:c r="B34" s="13" t="str">
        <x:v>Therapy sequence</x:v>
      </x:c>
      <x:c r="C34" s="13" t="str">
        <x:v>proportion_days_covered</x:v>
      </x:c>
      <x:c r="D34" s="13" t="str">
        <x:v>Existing</x:v>
      </x:c>
      <x:c r="E34" s="13" t="str">
        <x:v>Repository benchmark inventory</x:v>
      </x:c>
      <x:c r="F34" s="13" t="str">
        <x:v>Union fill/supply intervals over the inclusive lookback calendar; covered-day fraction. Source status: Implemented; real-data review pending</x:v>
      </x:c>
      <x:c r="G34" s="2"/>
      <x:c r="H34" s="2"/>
    </x:row>
    <x:row r="35" ht="58" customHeight="1">
      <x:c r="A35" s="2"/>
      <x:c r="B35" s="13" t="str">
        <x:v>Therapy sequence</x:v>
      </x:c>
      <x:c r="C35" s="13" t="str">
        <x:v>maximum_therapy_gap_days</x:v>
      </x:c>
      <x:c r="D35" s="13" t="str">
        <x:v>Existing</x:v>
      </x:c>
      <x:c r="E35" s="13" t="str">
        <x:v>Repository benchmark inventory</x:v>
      </x:c>
      <x:c r="F35" s="13" t="str">
        <x:v>Longest consecutive uncovered-day run in the lookback calendar. Source status: Implemented; real-data review pending</x:v>
      </x:c>
      <x:c r="G35" s="2"/>
      <x:c r="H35" s="2"/>
    </x:row>
    <x:row r="36" ht="58" customHeight="1">
      <x:c r="A36" s="2"/>
      <x:c r="B36" s="13" t="str">
        <x:v>Therapy sequence</x:v>
      </x:c>
      <x:c r="C36" s="13" t="str">
        <x:v>therapy_changes</x:v>
      </x:c>
      <x:c r="D36" s="13" t="str">
        <x:v>Existing</x:v>
      </x:c>
      <x:c r="E36" s="13" t="str">
        <x:v>Repository benchmark inventory</x:v>
      </x:c>
      <x:c r="F36" s="13" t="str">
        <x:v>Count successive product changes among lookback fills; first fill is not a change. Source status: Implemented; real-data review pending</x:v>
      </x:c>
      <x:c r="G36" s="2"/>
      <x:c r="H36" s="2"/>
    </x:row>
    <x:row r="37" ht="58" customHeight="1">
      <x:c r="A37" s="2"/>
      <x:c r="B37" s="13" t="str">
        <x:v>Therapy sequence</x:v>
      </x:c>
      <x:c r="C37" s="13" t="str">
        <x:v>therapies_tried</x:v>
      </x:c>
      <x:c r="D37" s="13" t="str">
        <x:v>Existing</x:v>
      </x:c>
      <x:c r="E37" s="13" t="str">
        <x:v>Repository benchmark inventory</x:v>
      </x:c>
      <x:c r="F37" s="13" t="str">
        <x:v>Number of distinct conventional products in lookback fills. Source status: Implemented; real-data review pending</x:v>
      </x:c>
      <x:c r="G37" s="2"/>
      <x:c r="H37" s="2"/>
    </x:row>
    <x:row r="38" ht="58" customHeight="1">
      <x:c r="A38" s="2"/>
      <x:c r="B38" s="13" t="str">
        <x:v>Therapy sequence</x:v>
      </x:c>
      <x:c r="C38" s="13" t="str">
        <x:v>therapy_duration_days</x:v>
      </x:c>
      <x:c r="D38" s="13" t="str">
        <x:v>Existing</x:v>
      </x:c>
      <x:c r="E38" s="13" t="str">
        <x:v>Repository benchmark inventory</x:v>
      </x:c>
      <x:c r="F38" s="13" t="str">
        <x:v>Days from earliest known conventional fill to assessment; not proven continuous duration. Source status: Implemented; real-data review pending</x:v>
      </x:c>
      <x:c r="G38" s="2"/>
      <x:c r="H38" s="2"/>
    </x:row>
    <x:row r="39" ht="58" customHeight="1">
      <x:c r="A39" s="2"/>
      <x:c r="B39" s="13" t="str">
        <x:v>Diagnosis</x:v>
      </x:c>
      <x:c r="C39" s="13" t="str">
        <x:v>diagnosis_count_30d</x:v>
      </x:c>
      <x:c r="D39" s="13" t="str">
        <x:v>Existing</x:v>
      </x:c>
      <x:c r="E39" s="13" t="str">
        <x:v>Repository benchmark inventory</x:v>
      </x:c>
      <x:c r="F39" s="13" t="str">
        <x:v>Count diagnosis event rows in the window; not distinct encounters. Window: 30 days. Source status: Implemented; real-data review pending</x:v>
      </x:c>
      <x:c r="G39" s="2"/>
      <x:c r="H39" s="2"/>
    </x:row>
    <x:row r="40" ht="58" customHeight="1">
      <x:c r="A40" s="2"/>
      <x:c r="B40" s="13" t="str">
        <x:v>Procedure</x:v>
      </x:c>
      <x:c r="C40" s="13" t="str">
        <x:v>procedure_count_30d</x:v>
      </x:c>
      <x:c r="D40" s="13" t="str">
        <x:v>Existing</x:v>
      </x:c>
      <x:c r="E40" s="13" t="str">
        <x:v>Repository benchmark inventory</x:v>
      </x:c>
      <x:c r="F40" s="13" t="str">
        <x:v>Count procedure event rows in the window. Window: 30 days. Source status: Implemented; real-data review pending</x:v>
      </x:c>
      <x:c r="G40" s="2"/>
      <x:c r="H40" s="2"/>
    </x:row>
    <x:row r="41" ht="58" customHeight="1">
      <x:c r="A41" s="2"/>
      <x:c r="B41" s="13" t="str">
        <x:v>Pharmacy / RX</x:v>
      </x:c>
      <x:c r="C41" s="13" t="str">
        <x:v>pharmacy_count_30d</x:v>
      </x:c>
      <x:c r="D41" s="13" t="str">
        <x:v>Existing</x:v>
      </x:c>
      <x:c r="E41" s="13" t="str">
        <x:v>Repository benchmark inventory</x:v>
      </x:c>
      <x:c r="F41" s="13" t="str">
        <x:v>Count pharmacy event rows in the window, including configured event statuses. Window: 30 days. Source status: Implemented; real-data review pending</x:v>
      </x:c>
      <x:c r="G41" s="2"/>
      <x:c r="H41" s="2"/>
    </x:row>
    <x:row r="42" ht="58" customHeight="1">
      <x:c r="A42" s="2"/>
      <x:c r="B42" s="13" t="str">
        <x:v>Provider / Specialty</x:v>
      </x:c>
      <x:c r="C42" s="13" t="str">
        <x:v>specialist_visits_30d</x:v>
      </x:c>
      <x:c r="D42" s="13" t="str">
        <x:v>Existing</x:v>
      </x:c>
      <x:c r="E42" s="13" t="str">
        <x:v>Repository benchmark inventory</x:v>
      </x:c>
      <x:c r="F42" s="13" t="str">
        <x:v>Count paid/final diagnosis event rows with configured specialties; visit proxy. Window: 30 days. Source status: Implemented; real-data review pending</x:v>
      </x:c>
      <x:c r="G42" s="2"/>
      <x:c r="H42" s="2"/>
    </x:row>
    <x:row r="43" ht="58" customHeight="1">
      <x:c r="A43" s="2"/>
      <x:c r="B43" s="13" t="str">
        <x:v>Utilization</x:v>
      </x:c>
      <x:c r="C43" s="13" t="str">
        <x:v>emergency_visits_30d</x:v>
      </x:c>
      <x:c r="D43" s="13" t="str">
        <x:v>Existing</x:v>
      </x:c>
      <x:c r="E43" s="13" t="str">
        <x:v>Repository benchmark inventory</x:v>
      </x:c>
      <x:c r="F43" s="13" t="str">
        <x:v>Count paid/final diagnosis rows with emergency place of service; not deduplicated encounters. Window: 30 days. Source status: Implemented; real-data review pending</x:v>
      </x:c>
      <x:c r="G43" s="2"/>
      <x:c r="H43" s="2"/>
    </x:row>
    <x:row r="44" ht="58" customHeight="1">
      <x:c r="A44" s="2"/>
      <x:c r="B44" s="13" t="str">
        <x:v>Utilization</x:v>
      </x:c>
      <x:c r="C44" s="13" t="str">
        <x:v>urgent_visits_30d</x:v>
      </x:c>
      <x:c r="D44" s="13" t="str">
        <x:v>Existing</x:v>
      </x:c>
      <x:c r="E44" s="13" t="str">
        <x:v>Repository benchmark inventory</x:v>
      </x:c>
      <x:c r="F44" s="13" t="str">
        <x:v>Count paid/final diagnosis rows with urgent_care place of service; encounter proxy. Window: 30 days. Source status: Implemented; real-data review pending</x:v>
      </x:c>
      <x:c r="G44" s="2"/>
      <x:c r="H44" s="2"/>
    </x:row>
    <x:row r="45" ht="58" customHeight="1">
      <x:c r="A45" s="2"/>
      <x:c r="B45" s="13" t="str">
        <x:v>Plan / Access</x:v>
      </x:c>
      <x:c r="C45" s="13" t="str">
        <x:v>rejected_rx_30d</x:v>
      </x:c>
      <x:c r="D45" s="13" t="str">
        <x:v>Existing</x:v>
      </x:c>
      <x:c r="E45" s="13" t="str">
        <x:v>Repository benchmark inventory</x:v>
      </x:c>
      <x:c r="F45" s="13" t="str">
        <x:v>Count available prescription rows whose status is rejected. Window: 30 days. Source status: Implemented; real-data review pending</x:v>
      </x:c>
      <x:c r="G45" s="2"/>
      <x:c r="H45" s="2"/>
    </x:row>
    <x:row r="46" ht="58" customHeight="1">
      <x:c r="A46" s="2"/>
      <x:c r="B46" s="13" t="str">
        <x:v>Plan / Access</x:v>
      </x:c>
      <x:c r="C46" s="13" t="str">
        <x:v>reversed_rx_30d</x:v>
      </x:c>
      <x:c r="D46" s="13" t="str">
        <x:v>Existing</x:v>
      </x:c>
      <x:c r="E46" s="13" t="str">
        <x:v>Repository benchmark inventory</x:v>
      </x:c>
      <x:c r="F46" s="13" t="str">
        <x:v>Count available prescription rows whose status is reversed; historical revision policy matters. Window: 30 days. Source status: Implemented; real-data review pending</x:v>
      </x:c>
      <x:c r="G46" s="2"/>
      <x:c r="H46" s="2"/>
    </x:row>
    <x:row r="47" ht="58" customHeight="1">
      <x:c r="A47" s="2"/>
      <x:c r="B47" s="13" t="str">
        <x:v>Plan / Access</x:v>
      </x:c>
      <x:c r="C47" s="13" t="str">
        <x:v>patient_cost_30d</x:v>
      </x:c>
      <x:c r="D47" s="13" t="str">
        <x:v>Existing</x:v>
      </x:c>
      <x:c r="E47" s="13" t="str">
        <x:v>Repository benchmark inventory</x:v>
      </x:c>
      <x:c r="F47" s="13" t="str">
        <x:v>Sum source patient_cost over available prescription rows, including unpaid statuses; not actual paid burden. Window: 30 days. Source status: Implemented; real-data review pending</x:v>
      </x:c>
      <x:c r="G47" s="2"/>
      <x:c r="H47" s="2"/>
    </x:row>
    <x:row r="48" ht="58" customHeight="1">
      <x:c r="A48" s="2"/>
      <x:c r="B48" s="13" t="str">
        <x:v>Diagnosis</x:v>
      </x:c>
      <x:c r="C48" s="13" t="str">
        <x:v>diagnosis_count_60d</x:v>
      </x:c>
      <x:c r="D48" s="13" t="str">
        <x:v>Existing</x:v>
      </x:c>
      <x:c r="E48" s="13" t="str">
        <x:v>Repository benchmark inventory</x:v>
      </x:c>
      <x:c r="F48" s="13" t="str">
        <x:v>Count diagnosis event rows in the window; not distinct encounters. Window: 60 days. Source status: Implemented; real-data review pending</x:v>
      </x:c>
      <x:c r="G48" s="2"/>
      <x:c r="H48" s="2"/>
    </x:row>
    <x:row r="49" ht="58" customHeight="1">
      <x:c r="A49" s="2"/>
      <x:c r="B49" s="13" t="str">
        <x:v>Procedure</x:v>
      </x:c>
      <x:c r="C49" s="13" t="str">
        <x:v>procedure_count_60d</x:v>
      </x:c>
      <x:c r="D49" s="13" t="str">
        <x:v>Existing</x:v>
      </x:c>
      <x:c r="E49" s="13" t="str">
        <x:v>Repository benchmark inventory</x:v>
      </x:c>
      <x:c r="F49" s="13" t="str">
        <x:v>Count procedure event rows in the window. Window: 60 days. Source status: Implemented; real-data review pending</x:v>
      </x:c>
      <x:c r="G49" s="2"/>
      <x:c r="H49" s="2"/>
    </x:row>
    <x:row r="50" ht="58" customHeight="1">
      <x:c r="A50" s="2"/>
      <x:c r="B50" s="13" t="str">
        <x:v>Pharmacy / RX</x:v>
      </x:c>
      <x:c r="C50" s="13" t="str">
        <x:v>pharmacy_count_60d</x:v>
      </x:c>
      <x:c r="D50" s="13" t="str">
        <x:v>Existing</x:v>
      </x:c>
      <x:c r="E50" s="13" t="str">
        <x:v>Repository benchmark inventory</x:v>
      </x:c>
      <x:c r="F50" s="13" t="str">
        <x:v>Count pharmacy event rows in the window, including configured event statuses. Window: 60 days. Source status: Implemented; real-data review pending</x:v>
      </x:c>
      <x:c r="G50" s="2"/>
      <x:c r="H50" s="2"/>
    </x:row>
    <x:row r="51" ht="58" customHeight="1">
      <x:c r="A51" s="2"/>
      <x:c r="B51" s="13" t="str">
        <x:v>Provider / Specialty</x:v>
      </x:c>
      <x:c r="C51" s="13" t="str">
        <x:v>specialist_visits_60d</x:v>
      </x:c>
      <x:c r="D51" s="13" t="str">
        <x:v>Existing</x:v>
      </x:c>
      <x:c r="E51" s="13" t="str">
        <x:v>Repository benchmark inventory</x:v>
      </x:c>
      <x:c r="F51" s="13" t="str">
        <x:v>Count paid/final diagnosis event rows with configured specialties; visit proxy. Window: 60 days. Source status: Implemented; real-data review pending</x:v>
      </x:c>
      <x:c r="G51" s="2"/>
      <x:c r="H51" s="2"/>
    </x:row>
    <x:row r="52" ht="58" customHeight="1">
      <x:c r="A52" s="2"/>
      <x:c r="B52" s="13" t="str">
        <x:v>Utilization</x:v>
      </x:c>
      <x:c r="C52" s="13" t="str">
        <x:v>emergency_visits_60d</x:v>
      </x:c>
      <x:c r="D52" s="13" t="str">
        <x:v>Existing</x:v>
      </x:c>
      <x:c r="E52" s="13" t="str">
        <x:v>Repository benchmark inventory</x:v>
      </x:c>
      <x:c r="F52" s="13" t="str">
        <x:v>Count paid/final diagnosis rows with emergency place of service; not deduplicated encounters. Window: 60 days. Source status: Implemented; real-data review pending</x:v>
      </x:c>
      <x:c r="G52" s="2"/>
      <x:c r="H52" s="2"/>
    </x:row>
    <x:row r="53" ht="58" customHeight="1">
      <x:c r="A53" s="2"/>
      <x:c r="B53" s="13" t="str">
        <x:v>Utilization</x:v>
      </x:c>
      <x:c r="C53" s="13" t="str">
        <x:v>urgent_visits_60d</x:v>
      </x:c>
      <x:c r="D53" s="13" t="str">
        <x:v>Existing</x:v>
      </x:c>
      <x:c r="E53" s="13" t="str">
        <x:v>Repository benchmark inventory</x:v>
      </x:c>
      <x:c r="F53" s="13" t="str">
        <x:v>Count paid/final diagnosis rows with urgent_care place of service; encounter proxy. Window: 60 days. Source status: Implemented; real-data review pending</x:v>
      </x:c>
      <x:c r="G53" s="2"/>
      <x:c r="H53" s="2"/>
    </x:row>
    <x:row r="54" ht="58" customHeight="1">
      <x:c r="A54" s="2"/>
      <x:c r="B54" s="13" t="str">
        <x:v>Plan / Access</x:v>
      </x:c>
      <x:c r="C54" s="13" t="str">
        <x:v>rejected_rx_60d</x:v>
      </x:c>
      <x:c r="D54" s="13" t="str">
        <x:v>Existing</x:v>
      </x:c>
      <x:c r="E54" s="13" t="str">
        <x:v>Repository benchmark inventory</x:v>
      </x:c>
      <x:c r="F54" s="13" t="str">
        <x:v>Count available prescription rows whose status is rejected. Window: 60 days. Source status: Implemented; real-data review pending</x:v>
      </x:c>
      <x:c r="G54" s="2"/>
      <x:c r="H54" s="2"/>
    </x:row>
    <x:row r="55" ht="58" customHeight="1">
      <x:c r="A55" s="2"/>
      <x:c r="B55" s="13" t="str">
        <x:v>Plan / Access</x:v>
      </x:c>
      <x:c r="C55" s="13" t="str">
        <x:v>reversed_rx_60d</x:v>
      </x:c>
      <x:c r="D55" s="13" t="str">
        <x:v>Existing</x:v>
      </x:c>
      <x:c r="E55" s="13" t="str">
        <x:v>Repository benchmark inventory</x:v>
      </x:c>
      <x:c r="F55" s="13" t="str">
        <x:v>Count available prescription rows whose status is reversed; historical revision policy matters. Window: 60 days. Source status: Implemented; real-data review pending</x:v>
      </x:c>
      <x:c r="G55" s="2"/>
      <x:c r="H55" s="2"/>
    </x:row>
    <x:row r="56" ht="58" customHeight="1">
      <x:c r="A56" s="2"/>
      <x:c r="B56" s="13" t="str">
        <x:v>Plan / Access</x:v>
      </x:c>
      <x:c r="C56" s="13" t="str">
        <x:v>patient_cost_60d</x:v>
      </x:c>
      <x:c r="D56" s="13" t="str">
        <x:v>Existing</x:v>
      </x:c>
      <x:c r="E56" s="13" t="str">
        <x:v>Repository benchmark inventory</x:v>
      </x:c>
      <x:c r="F56" s="13" t="str">
        <x:v>Sum source patient_cost over available prescription rows, including unpaid statuses; not actual paid burden. Window: 60 days. Source status: Implemented; real-data review pending</x:v>
      </x:c>
      <x:c r="G56" s="2"/>
      <x:c r="H56" s="2"/>
    </x:row>
    <x:row r="57" ht="58" customHeight="1">
      <x:c r="A57" s="2"/>
      <x:c r="B57" s="13" t="str">
        <x:v>Diagnosis</x:v>
      </x:c>
      <x:c r="C57" s="13" t="str">
        <x:v>diagnosis_count_90d</x:v>
      </x:c>
      <x:c r="D57" s="13" t="str">
        <x:v>Existing</x:v>
      </x:c>
      <x:c r="E57" s="13" t="str">
        <x:v>Repository benchmark inventory</x:v>
      </x:c>
      <x:c r="F57" s="13" t="str">
        <x:v>Count diagnosis event rows in the window; not distinct encounters. Window: 90 days. Source status: Implemented; real-data review pending</x:v>
      </x:c>
      <x:c r="G57" s="2"/>
      <x:c r="H57" s="2"/>
    </x:row>
    <x:row r="58" ht="58" customHeight="1">
      <x:c r="A58" s="2"/>
      <x:c r="B58" s="13" t="str">
        <x:v>Procedure</x:v>
      </x:c>
      <x:c r="C58" s="13" t="str">
        <x:v>procedure_count_90d</x:v>
      </x:c>
      <x:c r="D58" s="13" t="str">
        <x:v>Existing</x:v>
      </x:c>
      <x:c r="E58" s="13" t="str">
        <x:v>Repository benchmark inventory</x:v>
      </x:c>
      <x:c r="F58" s="13" t="str">
        <x:v>Count procedure event rows in the window. Window: 90 days. Source status: Implemented; real-data review pending</x:v>
      </x:c>
      <x:c r="G58" s="2"/>
      <x:c r="H58" s="2"/>
    </x:row>
    <x:row r="59" ht="58" customHeight="1">
      <x:c r="A59" s="2"/>
      <x:c r="B59" s="13" t="str">
        <x:v>Pharmacy / RX</x:v>
      </x:c>
      <x:c r="C59" s="13" t="str">
        <x:v>pharmacy_count_90d</x:v>
      </x:c>
      <x:c r="D59" s="13" t="str">
        <x:v>Existing</x:v>
      </x:c>
      <x:c r="E59" s="13" t="str">
        <x:v>Repository benchmark inventory</x:v>
      </x:c>
      <x:c r="F59" s="13" t="str">
        <x:v>Count pharmacy event rows in the window, including configured event statuses. Window: 90 days. Source status: Implemented; real-data review pending</x:v>
      </x:c>
      <x:c r="G59" s="2"/>
      <x:c r="H59" s="2"/>
    </x:row>
    <x:row r="60" ht="58" customHeight="1">
      <x:c r="A60" s="2"/>
      <x:c r="B60" s="13" t="str">
        <x:v>Provider / Specialty</x:v>
      </x:c>
      <x:c r="C60" s="13" t="str">
        <x:v>specialist_visits_90d</x:v>
      </x:c>
      <x:c r="D60" s="13" t="str">
        <x:v>Existing</x:v>
      </x:c>
      <x:c r="E60" s="13" t="str">
        <x:v>Repository benchmark inventory</x:v>
      </x:c>
      <x:c r="F60" s="13" t="str">
        <x:v>Count paid/final diagnosis event rows with configured specialties; visit proxy. Window: 90 days. Source status: Implemented; real-data review pending</x:v>
      </x:c>
      <x:c r="G60" s="2"/>
      <x:c r="H60" s="2"/>
    </x:row>
    <x:row r="61" ht="58" customHeight="1">
      <x:c r="A61" s="2"/>
      <x:c r="B61" s="13" t="str">
        <x:v>Utilization</x:v>
      </x:c>
      <x:c r="C61" s="13" t="str">
        <x:v>emergency_visits_90d</x:v>
      </x:c>
      <x:c r="D61" s="13" t="str">
        <x:v>Existing</x:v>
      </x:c>
      <x:c r="E61" s="13" t="str">
        <x:v>Repository benchmark inventory</x:v>
      </x:c>
      <x:c r="F61" s="13" t="str">
        <x:v>Count paid/final diagnosis rows with emergency place of service; not deduplicated encounters. Window: 90 days. Source status: Implemented; real-data review pending</x:v>
      </x:c>
      <x:c r="G61" s="2"/>
      <x:c r="H61" s="2"/>
    </x:row>
    <x:row r="62" ht="58" customHeight="1">
      <x:c r="A62" s="2"/>
      <x:c r="B62" s="13" t="str">
        <x:v>Utilization</x:v>
      </x:c>
      <x:c r="C62" s="13" t="str">
        <x:v>urgent_visits_90d</x:v>
      </x:c>
      <x:c r="D62" s="13" t="str">
        <x:v>Existing</x:v>
      </x:c>
      <x:c r="E62" s="13" t="str">
        <x:v>Repository benchmark inventory</x:v>
      </x:c>
      <x:c r="F62" s="13" t="str">
        <x:v>Count paid/final diagnosis rows with urgent_care place of service; encounter proxy. Window: 90 days. Source status: Implemented; real-data review pending</x:v>
      </x:c>
      <x:c r="G62" s="2"/>
      <x:c r="H62" s="2"/>
    </x:row>
    <x:row r="63" ht="58" customHeight="1">
      <x:c r="A63" s="2"/>
      <x:c r="B63" s="13" t="str">
        <x:v>Plan / Access</x:v>
      </x:c>
      <x:c r="C63" s="13" t="str">
        <x:v>rejected_rx_90d</x:v>
      </x:c>
      <x:c r="D63" s="13" t="str">
        <x:v>Existing</x:v>
      </x:c>
      <x:c r="E63" s="13" t="str">
        <x:v>Repository benchmark inventory</x:v>
      </x:c>
      <x:c r="F63" s="13" t="str">
        <x:v>Count available prescription rows whose status is rejected. Window: 90 days. Source status: Implemented; real-data review pending</x:v>
      </x:c>
      <x:c r="G63" s="2"/>
      <x:c r="H63" s="2"/>
    </x:row>
    <x:row r="64" ht="58" customHeight="1">
      <x:c r="A64" s="2"/>
      <x:c r="B64" s="13" t="str">
        <x:v>Plan / Access</x:v>
      </x:c>
      <x:c r="C64" s="13" t="str">
        <x:v>reversed_rx_90d</x:v>
      </x:c>
      <x:c r="D64" s="13" t="str">
        <x:v>Existing</x:v>
      </x:c>
      <x:c r="E64" s="13" t="str">
        <x:v>Repository benchmark inventory</x:v>
      </x:c>
      <x:c r="F64" s="13" t="str">
        <x:v>Count available prescription rows whose status is reversed; historical revision policy matters. Window: 90 days. Source status: Implemented; real-data review pending</x:v>
      </x:c>
      <x:c r="G64" s="2"/>
      <x:c r="H64" s="2"/>
    </x:row>
    <x:row r="65" ht="58" customHeight="1">
      <x:c r="A65" s="2"/>
      <x:c r="B65" s="13" t="str">
        <x:v>Plan / Access</x:v>
      </x:c>
      <x:c r="C65" s="13" t="str">
        <x:v>patient_cost_90d</x:v>
      </x:c>
      <x:c r="D65" s="13" t="str">
        <x:v>Existing</x:v>
      </x:c>
      <x:c r="E65" s="13" t="str">
        <x:v>Repository benchmark inventory</x:v>
      </x:c>
      <x:c r="F65" s="13" t="str">
        <x:v>Sum source patient_cost over available prescription rows, including unpaid statuses; not actual paid burden. Window: 90 days. Source status: Implemented; real-data review pending</x:v>
      </x:c>
      <x:c r="G65" s="2"/>
      <x:c r="H65" s="2"/>
    </x:row>
    <x:row r="66" ht="58" customHeight="1">
      <x:c r="A66" s="2"/>
      <x:c r="B66" s="13" t="str">
        <x:v>Diagnosis</x:v>
      </x:c>
      <x:c r="C66" s="13" t="str">
        <x:v>diagnosis_count_180d</x:v>
      </x:c>
      <x:c r="D66" s="13" t="str">
        <x:v>Existing</x:v>
      </x:c>
      <x:c r="E66" s="13" t="str">
        <x:v>Repository benchmark inventory</x:v>
      </x:c>
      <x:c r="F66" s="13" t="str">
        <x:v>Count diagnosis event rows in the window; not distinct encounters. Window: 180 days. Source status: Implemented; real-data review pending</x:v>
      </x:c>
      <x:c r="G66" s="2"/>
      <x:c r="H66" s="2"/>
    </x:row>
    <x:row r="67" ht="58" customHeight="1">
      <x:c r="A67" s="2"/>
      <x:c r="B67" s="13" t="str">
        <x:v>Procedure</x:v>
      </x:c>
      <x:c r="C67" s="13" t="str">
        <x:v>procedure_count_180d</x:v>
      </x:c>
      <x:c r="D67" s="13" t="str">
        <x:v>Existing</x:v>
      </x:c>
      <x:c r="E67" s="13" t="str">
        <x:v>Repository benchmark inventory</x:v>
      </x:c>
      <x:c r="F67" s="13" t="str">
        <x:v>Count procedure event rows in the window. Window: 180 days. Source status: Implemented; real-data review pending</x:v>
      </x:c>
      <x:c r="G67" s="2"/>
      <x:c r="H67" s="2"/>
    </x:row>
    <x:row r="68" ht="58" customHeight="1">
      <x:c r="A68" s="2"/>
      <x:c r="B68" s="13" t="str">
        <x:v>Pharmacy / RX</x:v>
      </x:c>
      <x:c r="C68" s="13" t="str">
        <x:v>pharmacy_count_180d</x:v>
      </x:c>
      <x:c r="D68" s="13" t="str">
        <x:v>Existing</x:v>
      </x:c>
      <x:c r="E68" s="13" t="str">
        <x:v>Repository benchmark inventory</x:v>
      </x:c>
      <x:c r="F68" s="13" t="str">
        <x:v>Count pharmacy event rows in the window, including configured event statuses. Window: 180 days. Source status: Implemented; real-data review pending</x:v>
      </x:c>
      <x:c r="G68" s="2"/>
      <x:c r="H68" s="2"/>
    </x:row>
    <x:row r="69" ht="58" customHeight="1">
      <x:c r="A69" s="2"/>
      <x:c r="B69" s="13" t="str">
        <x:v>Provider / Specialty</x:v>
      </x:c>
      <x:c r="C69" s="13" t="str">
        <x:v>specialist_visits_180d</x:v>
      </x:c>
      <x:c r="D69" s="13" t="str">
        <x:v>Existing</x:v>
      </x:c>
      <x:c r="E69" s="13" t="str">
        <x:v>Repository benchmark inventory</x:v>
      </x:c>
      <x:c r="F69" s="13" t="str">
        <x:v>Count paid/final diagnosis event rows with configured specialties; visit proxy. Window: 180 days. Source status: Implemented; real-data review pending</x:v>
      </x:c>
      <x:c r="G69" s="2"/>
      <x:c r="H69" s="2"/>
    </x:row>
    <x:row r="70" ht="58" customHeight="1">
      <x:c r="A70" s="2"/>
      <x:c r="B70" s="13" t="str">
        <x:v>Utilization</x:v>
      </x:c>
      <x:c r="C70" s="13" t="str">
        <x:v>emergency_visits_180d</x:v>
      </x:c>
      <x:c r="D70" s="13" t="str">
        <x:v>Existing</x:v>
      </x:c>
      <x:c r="E70" s="13" t="str">
        <x:v>Repository benchmark inventory</x:v>
      </x:c>
      <x:c r="F70" s="13" t="str">
        <x:v>Count paid/final diagnosis rows with emergency place of service; not deduplicated encounters. Window: 180 days. Source status: Implemented; real-data review pending</x:v>
      </x:c>
      <x:c r="G70" s="2"/>
      <x:c r="H70" s="2"/>
    </x:row>
    <x:row r="71" ht="58" customHeight="1">
      <x:c r="A71" s="2"/>
      <x:c r="B71" s="13" t="str">
        <x:v>Utilization</x:v>
      </x:c>
      <x:c r="C71" s="13" t="str">
        <x:v>urgent_visits_180d</x:v>
      </x:c>
      <x:c r="D71" s="13" t="str">
        <x:v>Existing</x:v>
      </x:c>
      <x:c r="E71" s="13" t="str">
        <x:v>Repository benchmark inventory</x:v>
      </x:c>
      <x:c r="F71" s="13" t="str">
        <x:v>Count paid/final diagnosis rows with urgent_care place of service; encounter proxy. Window: 180 days. Source status: Implemented; real-data review pending</x:v>
      </x:c>
      <x:c r="G71" s="2"/>
      <x:c r="H71" s="2"/>
    </x:row>
    <x:row r="72" ht="58" customHeight="1">
      <x:c r="A72" s="2"/>
      <x:c r="B72" s="13" t="str">
        <x:v>Plan / Access</x:v>
      </x:c>
      <x:c r="C72" s="13" t="str">
        <x:v>rejected_rx_180d</x:v>
      </x:c>
      <x:c r="D72" s="13" t="str">
        <x:v>Existing</x:v>
      </x:c>
      <x:c r="E72" s="13" t="str">
        <x:v>Repository benchmark inventory</x:v>
      </x:c>
      <x:c r="F72" s="13" t="str">
        <x:v>Count available prescription rows whose status is rejected. Window: 180 days. Source status: Implemented; real-data review pending</x:v>
      </x:c>
      <x:c r="G72" s="2"/>
      <x:c r="H72" s="2"/>
    </x:row>
    <x:row r="73" ht="58" customHeight="1">
      <x:c r="A73" s="2"/>
      <x:c r="B73" s="13" t="str">
        <x:v>Plan / Access</x:v>
      </x:c>
      <x:c r="C73" s="13" t="str">
        <x:v>reversed_rx_180d</x:v>
      </x:c>
      <x:c r="D73" s="13" t="str">
        <x:v>Existing</x:v>
      </x:c>
      <x:c r="E73" s="13" t="str">
        <x:v>Repository benchmark inventory</x:v>
      </x:c>
      <x:c r="F73" s="13" t="str">
        <x:v>Count available prescription rows whose status is reversed; historical revision policy matters. Window: 180 days. Source status: Implemented; real-data review pending</x:v>
      </x:c>
      <x:c r="G73" s="2"/>
      <x:c r="H73" s="2"/>
    </x:row>
    <x:row r="74" ht="58" customHeight="1">
      <x:c r="A74" s="2"/>
      <x:c r="B74" s="13" t="str">
        <x:v>Plan / Access</x:v>
      </x:c>
      <x:c r="C74" s="13" t="str">
        <x:v>patient_cost_180d</x:v>
      </x:c>
      <x:c r="D74" s="13" t="str">
        <x:v>Existing</x:v>
      </x:c>
      <x:c r="E74" s="13" t="str">
        <x:v>Repository benchmark inventory</x:v>
      </x:c>
      <x:c r="F74" s="13" t="str">
        <x:v>Sum source patient_cost over available prescription rows, including unpaid statuses; not actual paid burden. Window: 180 days. Source status: Implemented; real-data review pending</x:v>
      </x:c>
      <x:c r="G74" s="2"/>
      <x:c r="H74" s="2"/>
    </x:row>
    <x:row r="75" ht="58" customHeight="1">
      <x:c r="A75" s="2"/>
      <x:c r="B75" s="13" t="str">
        <x:v>Diagnosis</x:v>
      </x:c>
      <x:c r="C75" s="13" t="str">
        <x:v>diagnosis_count_365d</x:v>
      </x:c>
      <x:c r="D75" s="13" t="str">
        <x:v>Existing</x:v>
      </x:c>
      <x:c r="E75" s="13" t="str">
        <x:v>Repository benchmark inventory</x:v>
      </x:c>
      <x:c r="F75" s="13" t="str">
        <x:v>Count diagnosis event rows in the window; not distinct encounters. Window: 365 days. Source status: Implemented; real-data review pending</x:v>
      </x:c>
      <x:c r="G75" s="2"/>
      <x:c r="H75" s="2"/>
    </x:row>
    <x:row r="76" ht="58" customHeight="1">
      <x:c r="A76" s="2"/>
      <x:c r="B76" s="13" t="str">
        <x:v>Procedure</x:v>
      </x:c>
      <x:c r="C76" s="13" t="str">
        <x:v>procedure_count_365d</x:v>
      </x:c>
      <x:c r="D76" s="13" t="str">
        <x:v>Existing</x:v>
      </x:c>
      <x:c r="E76" s="13" t="str">
        <x:v>Repository benchmark inventory</x:v>
      </x:c>
      <x:c r="F76" s="13" t="str">
        <x:v>Count procedure event rows in the window. Window: 365 days. Source status: Implemented; real-data review pending</x:v>
      </x:c>
      <x:c r="G76" s="2"/>
      <x:c r="H76" s="2"/>
    </x:row>
    <x:row r="77" ht="58" customHeight="1">
      <x:c r="A77" s="2"/>
      <x:c r="B77" s="13" t="str">
        <x:v>Pharmacy / RX</x:v>
      </x:c>
      <x:c r="C77" s="13" t="str">
        <x:v>pharmacy_count_365d</x:v>
      </x:c>
      <x:c r="D77" s="13" t="str">
        <x:v>Existing</x:v>
      </x:c>
      <x:c r="E77" s="13" t="str">
        <x:v>Repository benchmark inventory</x:v>
      </x:c>
      <x:c r="F77" s="13" t="str">
        <x:v>Count pharmacy event rows in the window, including configured event statuses. Window: 365 days. Source status: Implemented; real-data review pending</x:v>
      </x:c>
      <x:c r="G77" s="2"/>
      <x:c r="H77" s="2"/>
    </x:row>
    <x:row r="78" ht="58" customHeight="1">
      <x:c r="A78" s="2"/>
      <x:c r="B78" s="13" t="str">
        <x:v>Provider / Specialty</x:v>
      </x:c>
      <x:c r="C78" s="13" t="str">
        <x:v>specialist_visits_365d</x:v>
      </x:c>
      <x:c r="D78" s="13" t="str">
        <x:v>Existing</x:v>
      </x:c>
      <x:c r="E78" s="13" t="str">
        <x:v>Repository benchmark inventory</x:v>
      </x:c>
      <x:c r="F78" s="13" t="str">
        <x:v>Count paid/final diagnosis event rows with configured specialties; visit proxy. Window: 365 days. Source status: Implemented; real-data review pending</x:v>
      </x:c>
      <x:c r="G78" s="2"/>
      <x:c r="H78" s="2"/>
    </x:row>
    <x:row r="79" ht="58" customHeight="1">
      <x:c r="A79" s="2"/>
      <x:c r="B79" s="13" t="str">
        <x:v>Utilization</x:v>
      </x:c>
      <x:c r="C79" s="13" t="str">
        <x:v>emergency_visits_365d</x:v>
      </x:c>
      <x:c r="D79" s="13" t="str">
        <x:v>Existing</x:v>
      </x:c>
      <x:c r="E79" s="13" t="str">
        <x:v>Repository benchmark inventory</x:v>
      </x:c>
      <x:c r="F79" s="13" t="str">
        <x:v>Count paid/final diagnosis rows with emergency place of service; not deduplicated encounters. Window: 365 days. Source status: Implemented; real-data review pending</x:v>
      </x:c>
      <x:c r="G79" s="2"/>
      <x:c r="H79" s="2"/>
    </x:row>
    <x:row r="80" ht="58" customHeight="1">
      <x:c r="A80" s="2"/>
      <x:c r="B80" s="13" t="str">
        <x:v>Utilization</x:v>
      </x:c>
      <x:c r="C80" s="13" t="str">
        <x:v>urgent_visits_365d</x:v>
      </x:c>
      <x:c r="D80" s="13" t="str">
        <x:v>Existing</x:v>
      </x:c>
      <x:c r="E80" s="13" t="str">
        <x:v>Repository benchmark inventory</x:v>
      </x:c>
      <x:c r="F80" s="13" t="str">
        <x:v>Count paid/final diagnosis rows with urgent_care place of service; encounter proxy. Window: 365 days. Source status: Implemented; real-data review pending</x:v>
      </x:c>
      <x:c r="G80" s="2"/>
      <x:c r="H80" s="2"/>
    </x:row>
    <x:row r="81" ht="58" customHeight="1">
      <x:c r="A81" s="2"/>
      <x:c r="B81" s="13" t="str">
        <x:v>Plan / Access</x:v>
      </x:c>
      <x:c r="C81" s="13" t="str">
        <x:v>rejected_rx_365d</x:v>
      </x:c>
      <x:c r="D81" s="13" t="str">
        <x:v>Existing</x:v>
      </x:c>
      <x:c r="E81" s="13" t="str">
        <x:v>Repository benchmark inventory</x:v>
      </x:c>
      <x:c r="F81" s="13" t="str">
        <x:v>Count available prescription rows whose status is rejected. Window: 365 days. Source status: Implemented; real-data review pending</x:v>
      </x:c>
      <x:c r="G81" s="2"/>
      <x:c r="H81" s="2"/>
    </x:row>
    <x:row r="82" ht="58" customHeight="1">
      <x:c r="A82" s="2"/>
      <x:c r="B82" s="13" t="str">
        <x:v>Plan / Access</x:v>
      </x:c>
      <x:c r="C82" s="13" t="str">
        <x:v>reversed_rx_365d</x:v>
      </x:c>
      <x:c r="D82" s="13" t="str">
        <x:v>Existing</x:v>
      </x:c>
      <x:c r="E82" s="13" t="str">
        <x:v>Repository benchmark inventory</x:v>
      </x:c>
      <x:c r="F82" s="13" t="str">
        <x:v>Count available prescription rows whose status is reversed; historical revision policy matters. Window: 365 days. Source status: Implemented; real-data review pending</x:v>
      </x:c>
      <x:c r="G82" s="2"/>
      <x:c r="H82" s="2"/>
    </x:row>
    <x:row r="83" ht="58" customHeight="1">
      <x:c r="A83" s="2"/>
      <x:c r="B83" s="13" t="str">
        <x:v>Plan / Access</x:v>
      </x:c>
      <x:c r="C83" s="13" t="str">
        <x:v>patient_cost_365d</x:v>
      </x:c>
      <x:c r="D83" s="13" t="str">
        <x:v>Existing</x:v>
      </x:c>
      <x:c r="E83" s="13" t="str">
        <x:v>Repository benchmark inventory</x:v>
      </x:c>
      <x:c r="F83" s="13" t="str">
        <x:v>Sum source patient_cost over available prescription rows, including unpaid statuses; not actual paid burden. Window: 365 days. Source status: Implemented; real-data review pending</x:v>
      </x:c>
      <x:c r="G83" s="2"/>
      <x:c r="H83" s="2"/>
    </x:row>
    <x:row r="84" ht="58" customHeight="1">
      <x:c r="A84" s="2"/>
      <x:c r="B84" s="13" t="str">
        <x:v>Diagnosis</x:v>
      </x:c>
      <x:c r="C84" s="13" t="str">
        <x:v>days_since_last_diagnosis</x:v>
      </x:c>
      <x:c r="D84" s="13" t="str">
        <x:v>Existing</x:v>
      </x:c>
      <x:c r="E84" s="13" t="str">
        <x:v>Repository benchmark inventory</x:v>
      </x:c>
      <x:c r="F84" s="13" t="str">
        <x:v>Assessment minus latest qualifying date; missing history uses the configured sentinel (features.missing_recency_value_days). Source status: Implemented; real-data review pending</x:v>
      </x:c>
      <x:c r="G84" s="2"/>
      <x:c r="H84" s="2"/>
    </x:row>
    <x:row r="85" ht="58" customHeight="1">
      <x:c r="A85" s="2"/>
      <x:c r="B85" s="13" t="str">
        <x:v>Provider / Specialty</x:v>
      </x:c>
      <x:c r="C85" s="13" t="str">
        <x:v>days_since_last_specialist</x:v>
      </x:c>
      <x:c r="D85" s="13" t="str">
        <x:v>Existing</x:v>
      </x:c>
      <x:c r="E85" s="13" t="str">
        <x:v>Repository benchmark inventory</x:v>
      </x:c>
      <x:c r="F85" s="13" t="str">
        <x:v>Assessment minus latest qualifying date; missing history uses the configured sentinel (features.missing_recency_value_days). Source status: Implemented; real-data review pending</x:v>
      </x:c>
      <x:c r="G85" s="2"/>
      <x:c r="H85" s="2"/>
    </x:row>
    <x:row r="86" ht="58" customHeight="1">
      <x:c r="A86" s="2"/>
      <x:c r="B86" s="13" t="str">
        <x:v>Therapy sequence</x:v>
      </x:c>
      <x:c r="C86" s="13" t="str">
        <x:v>days_since_last_rx</x:v>
      </x:c>
      <x:c r="D86" s="13" t="str">
        <x:v>Existing</x:v>
      </x:c>
      <x:c r="E86" s="13" t="str">
        <x:v>Repository benchmark inventory</x:v>
      </x:c>
      <x:c r="F86" s="13" t="str">
        <x:v>Assessment minus latest qualifying date; missing history uses the configured sentinel (features.missing_recency_value_days). Source status: Implemented; real-data review pending</x:v>
      </x:c>
      <x:c r="G86" s="2"/>
      <x:c r="H86" s="2"/>
    </x:row>
    <x:row r="87" ht="58" customHeight="1">
      <x:c r="A87" s="2"/>
      <x:c r="B87" s="13" t="str">
        <x:v>Therapy sequence</x:v>
      </x:c>
      <x:c r="C87" s="13" t="str">
        <x:v>days_since_last_treatment_change</x:v>
      </x:c>
      <x:c r="D87" s="13" t="str">
        <x:v>Existing</x:v>
      </x:c>
      <x:c r="E87" s="13" t="str">
        <x:v>Repository benchmark inventory</x:v>
      </x:c>
      <x:c r="F87" s="13" t="str">
        <x:v>Assessment minus latest qualifying date; missing history uses the configured sentinel (features.missing_recency_value_days). Source status: Implemented; real-data review pending</x:v>
      </x:c>
      <x:c r="G87" s="2"/>
      <x:c r="H87" s="2"/>
    </x:row>
    <x:row r="88" ht="58" customHeight="1">
      <x:c r="A88" s="2"/>
      <x:c r="B88" s="13" t="str">
        <x:v>Diagnosis</x:v>
      </x:c>
      <x:c r="C88" s="13" t="str">
        <x:v>diagnosis_acceleration</x:v>
      </x:c>
      <x:c r="D88" s="13" t="str">
        <x:v>Existing</x:v>
      </x:c>
      <x:c r="E88" s="13" t="str">
        <x:v>Repository benchmark inventory</x:v>
      </x:c>
      <x:c r="F88" s="13" t="str">
        <x:v>Count in past 90 days minus count in days 91–180. Source status: Implemented; real-data review pending</x:v>
      </x:c>
      <x:c r="G88" s="2"/>
      <x:c r="H88" s="2"/>
    </x:row>
    <x:row r="89" ht="58" customHeight="1">
      <x:c r="A89" s="2"/>
      <x:c r="B89" s="13" t="str">
        <x:v>Diagnosis</x:v>
      </x:c>
      <x:c r="C89" s="13" t="str">
        <x:v>diagnosis_recent_prior_ratio</x:v>
      </x:c>
      <x:c r="D89" s="13" t="str">
        <x:v>Existing</x:v>
      </x:c>
      <x:c r="E89" s="13" t="str">
        <x:v>Repository benchmark inventory</x:v>
      </x:c>
      <x:c r="F89" s="13" t="str">
        <x:v>(Recent 90-day count + 1) / (days 91–180 count + 1). Source status: Implemented; real-data review pending</x:v>
      </x:c>
      <x:c r="G89" s="2"/>
      <x:c r="H89" s="2"/>
    </x:row>
    <x:row r="90" ht="58" customHeight="1">
      <x:c r="A90" s="2"/>
      <x:c r="B90" s="13" t="str">
        <x:v>Provider / Specialty</x:v>
      </x:c>
      <x:c r="C90" s="13" t="str">
        <x:v>specialist_acceleration</x:v>
      </x:c>
      <x:c r="D90" s="13" t="str">
        <x:v>Existing</x:v>
      </x:c>
      <x:c r="E90" s="13" t="str">
        <x:v>Repository benchmark inventory</x:v>
      </x:c>
      <x:c r="F90" s="13" t="str">
        <x:v>Count in past 90 days minus count in days 91–180. Source status: Implemented; real-data review pending</x:v>
      </x:c>
      <x:c r="G90" s="2"/>
      <x:c r="H90" s="2"/>
    </x:row>
    <x:row r="91" ht="58" customHeight="1">
      <x:c r="A91" s="2"/>
      <x:c r="B91" s="13" t="str">
        <x:v>Provider / Specialty</x:v>
      </x:c>
      <x:c r="C91" s="13" t="str">
        <x:v>specialist_recent_prior_ratio</x:v>
      </x:c>
      <x:c r="D91" s="13" t="str">
        <x:v>Existing</x:v>
      </x:c>
      <x:c r="E91" s="13" t="str">
        <x:v>Repository benchmark inventory</x:v>
      </x:c>
      <x:c r="F91" s="13" t="str">
        <x:v>(Recent 90-day count + 1) / (days 91–180 count + 1). Source status: Implemented; real-data review pending</x:v>
      </x:c>
      <x:c r="G91" s="2"/>
      <x:c r="H91" s="2"/>
    </x:row>
    <x:row r="92" ht="58" customHeight="1">
      <x:c r="A92" s="2"/>
      <x:c r="B92" s="13" t="str">
        <x:v>Static</x:v>
      </x:c>
      <x:c r="C92" s="13" t="str">
        <x:v>recent_coverage_90d</x:v>
      </x:c>
      <x:c r="D92" s="13" t="str">
        <x:v>Existing</x:v>
      </x:c>
      <x:c r="E92" s="13" t="str">
        <x:v>Repository benchmark inventory</x:v>
      </x:c>
      <x:c r="F92" s="13" t="str">
        <x:v>Covered-day fraction from assessment minus 89 days through assessment. Source status: Implemented; real-data review pending</x:v>
      </x:c>
      <x:c r="G92" s="2"/>
      <x:c r="H92" s="2"/>
    </x:row>
    <x:row r="93" ht="58" customHeight="1">
      <x:c r="A93" s="2"/>
      <x:c r="B93" s="13" t="str">
        <x:v>Static</x:v>
      </x:c>
      <x:c r="C93" s="13" t="str">
        <x:v>previous_coverage_90d</x:v>
      </x:c>
      <x:c r="D93" s="13" t="str">
        <x:v>Existing</x:v>
      </x:c>
      <x:c r="E93" s="13" t="str">
        <x:v>Repository benchmark inventory</x:v>
      </x:c>
      <x:c r="F93" s="13" t="str">
        <x:v>Covered-day fraction in the immediately preceding 90-day interval. Source status: Implemented; real-data review pending</x:v>
      </x:c>
      <x:c r="G93" s="2"/>
      <x:c r="H93" s="2"/>
    </x:row>
    <x:row r="94" ht="58" customHeight="1">
      <x:c r="A94" s="2"/>
      <x:c r="B94" s="13" t="str">
        <x:v>Static</x:v>
      </x:c>
      <x:c r="C94" s="13" t="str">
        <x:v>coverage_change</x:v>
      </x:c>
      <x:c r="D94" s="13" t="str">
        <x:v>Existing</x:v>
      </x:c>
      <x:c r="E94" s="13" t="str">
        <x:v>Repository benchmark inventory</x:v>
      </x:c>
      <x:c r="F94" s="13" t="str">
        <x:v>recent_coverage_90d minus previous_coverage_90d. Source status: Implemented; real-data review pending</x:v>
      </x:c>
      <x:c r="G94" s="2"/>
      <x:c r="H94" s="2"/>
    </x:row>
    <x:row r="95" ht="58" customHeight="1">
      <x:c r="A95" s="2"/>
      <x:c r="B95" s="13" t="str">
        <x:v>Diagnosis</x:v>
      </x:c>
      <x:c r="C95" s="13" t="str">
        <x:v>symptom_count</x:v>
      </x:c>
      <x:c r="D95" s="13" t="str">
        <x:v>Existing</x:v>
      </x:c>
      <x:c r="E95" s="13" t="str">
        <x:v>Repository benchmark inventory</x:v>
      </x:c>
      <x:c r="F95" s="13" t="str">
        <x:v>Count qualifying diagnosis rows matching reviewed symptom codes. Source status: Implemented; real-data review pending</x:v>
      </x:c>
      <x:c r="G95" s="2"/>
      <x:c r="H95" s="2"/>
    </x:row>
    <x:row r="96" ht="58" customHeight="1">
      <x:c r="A96" s="2"/>
      <x:c r="B96" s="13" t="str">
        <x:v>Diagnosis</x:v>
      </x:c>
      <x:c r="C96" s="13" t="str">
        <x:v>comorbidity_count</x:v>
      </x:c>
      <x:c r="D96" s="13" t="str">
        <x:v>Existing</x:v>
      </x:c>
      <x:c r="E96" s="13" t="str">
        <x:v>Repository benchmark inventory</x:v>
      </x:c>
      <x:c r="F96" s="13" t="str">
        <x:v>Count qualifying diagnosis rows matching reviewed comorbidity codes. Source status: Implemented; real-data review pending</x:v>
      </x:c>
      <x:c r="G96" s="2"/>
      <x:c r="H96" s="2"/>
    </x:row>
    <x:row r="97" ht="58" customHeight="1">
      <x:c r="A97" s="2"/>
      <x:c r="B97" s="13" t="str">
        <x:v>Provider / Specialty</x:v>
      </x:c>
      <x:c r="C97" s="13" t="str">
        <x:v>hcp_historical_advanced_patients</x:v>
      </x:c>
      <x:c r="D97" s="13" t="str">
        <x:v>Existing</x:v>
      </x:c>
      <x:c r="E97" s="13" t="str">
        <x:v>Repository benchmark inventory</x:v>
      </x:c>
      <x:c r="F97" s="13" t="str">
        <x:v>Distinct other patients with known paid/final advanced fills, within lookback and exported population. Source status: Implemented; real-data review pending</x:v>
      </x:c>
      <x:c r="G97" s="2"/>
      <x:c r="H97" s="2"/>
    </x:row>
    <x:row r="98" ht="58" customHeight="1">
      <x:c r="A98" s="2"/>
      <x:c r="B98" s="13" t="str">
        <x:v>Provider / Specialty</x:v>
      </x:c>
      <x:c r="C98" s="13" t="str">
        <x:v>hcp_historical_patients</x:v>
      </x:c>
      <x:c r="D98" s="13" t="str">
        <x:v>Existing</x:v>
      </x:c>
      <x:c r="E98" s="13" t="str">
        <x:v>Repository benchmark inventory</x:v>
      </x:c>
      <x:c r="F98" s="13" t="str">
        <x:v>Distinct other patients with known paid/final fills, within lookback and exported population. Source status: Implemented; real-data review pending</x:v>
      </x:c>
      <x:c r="G98" s="2"/>
      <x:c r="H98" s="2"/>
    </x:row>
    <x:row r="99" ht="23" customHeight="1">
      <x:c r="A99" s="2"/>
      <x:c r="B99" s="2"/>
      <x:c r="C99" s="2"/>
      <x:c r="D99" s="2"/>
      <x:c r="E99" s="2"/>
      <x:c r="F99" s="2"/>
      <x:c r="G99" s="2"/>
      <x:c r="H99" s="2"/>
    </x:row>
    <x:row r="100" ht="38" customHeight="1">
      <x:c r="A100" s="2"/>
      <x:c r="B100" s="12" t="str">
        <x:v>Sources: supplied NT1 brief; docs/Features_and_analysis.xlsx, Features sheet. No baseline feature ranking or complete NT1 feature export was available.</x:v>
      </x:c>
      <x:c r="C100" s="12" t="str">
        <x:v>Sources: supplied NT1 brief; docs/Features_and_analysis.xlsx, Features sheet. No baseline feature ranking or complete NT1 feature export was available.</x:v>
      </x:c>
      <x:c r="D100" s="12" t="str">
        <x:v>Sources: supplied NT1 brief; docs/Features_and_analysis.xlsx, Features sheet. No baseline feature ranking or complete NT1 feature export was available.</x:v>
      </x:c>
      <x:c r="E100" s="12" t="str">
        <x:v>Sources: supplied NT1 brief; docs/Features_and_analysis.xlsx, Features sheet. No baseline feature ranking or complete NT1 feature export was available.</x:v>
      </x:c>
      <x:c r="F100" s="12" t="str">
        <x:v>Sources: supplied NT1 brief; docs/Features_and_analysis.xlsx, Features sheet. No baseline feature ranking or complete NT1 feature export was available.</x:v>
      </x:c>
      <x:c r="G100" s="2"/>
      <x:c r="H100" s="2"/>
    </x:row>
    <x:row r="101" ht="23" customHeight="1">
      <x:c r="A101" s="2"/>
      <x:c r="B101" s="2"/>
      <x:c r="C101" s="2"/>
      <x:c r="D101" s="2"/>
      <x:c r="E101" s="2"/>
      <x:c r="F101" s="2"/>
      <x:c r="G101" s="2"/>
      <x:c r="H101" s="2"/>
    </x:row>
    <x:row r="102" ht="23" customHeight="1">
      <x:c r="A102" s="2"/>
      <x:c r="B102" s="2"/>
      <x:c r="C102" s="2"/>
      <x:c r="D102" s="2"/>
      <x:c r="E102" s="2"/>
      <x:c r="F102" s="2"/>
      <x:c r="G102" s="2"/>
      <x:c r="H102" s="2"/>
    </x:row>
    <x:row r="103" ht="23" customHeight="1">
      <x:c r="A103" s="2"/>
      <x:c r="B103" s="2"/>
      <x:c r="C103" s="2"/>
      <x:c r="D103" s="2"/>
      <x:c r="E103" s="2"/>
      <x:c r="F103" s="2"/>
      <x:c r="G103" s="2"/>
      <x:c r="H103" s="2"/>
    </x:row>
  </x:sheetData>
  <x:mergeCells>
    <x:mergeCell ref="B2:G2"/>
    <x:mergeCell ref="B4:G4"/>
    <x:mergeCell ref="B5:G5"/>
    <x:mergeCell ref="B100:F100"/>
  </x:mergeCells>
  <x:dataValidations count="1">
    <x:dataValidation type="list" sqref="D9:D98">
      <x:formula1>"Existing,Candidate New,Candidate Modified,Needs Validation"</x:formula1>
    </x:dataValidation>
  </x:dataValidations>
  <x:pageMargins left="0.7" right="0.7" top="0.75" bottom="0.75" header="0.3" footer="0.3"/>
  <x:tableParts count="1">
    <x:tablePart xmlns:r="http://schemas.openxmlformats.org/officeDocument/2006/relationships" r:id="Ra60a653079d6416a"/>
  </x:tableParts>
</x:worksheet>
</file>

<file path=xl/worksheets/sheet10.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36.25" hidden="0" customWidth="1"/>
    <x:col min="3" max="3" width="35.630001068115234" hidden="0" customWidth="1"/>
    <x:col min="4" max="4" width="16.25" hidden="0" customWidth="1"/>
    <x:col min="5" max="5" width="12.5" hidden="0" customWidth="1"/>
    <x:col min="6" max="6" width="46.25" hidden="0" customWidth="1"/>
    <x:col min="7" max="7" width="2.5" hidden="0" customWidth="1"/>
    <x:col min="8" max="8" width="3" hidden="0" customWidth="1"/>
  </x:cols>
  <x:sheetData>
    <x:row r="1" ht="23" customHeight="1">
      <x:c r="A1" s="2"/>
      <x:c r="B1" s="2"/>
      <x:c r="C1" s="2"/>
      <x:c r="D1" s="2"/>
      <x:c r="E1" s="2"/>
      <x:c r="F1" s="2"/>
      <x:c r="G1" s="2"/>
      <x:c r="H1" s="2"/>
    </x:row>
    <x:row r="2" ht="32" customHeight="1">
      <x:c r="A2" s="2"/>
      <x:c r="B2" s="4" t="str">
        <x:v>Feature Gap Analysis</x:v>
      </x:c>
      <x:c r="C2" s="4" t="str">
        <x:v>Feature Gap Analysis</x:v>
      </x:c>
      <x:c r="D2" s="4" t="str">
        <x:v>Feature Gap Analysis</x:v>
      </x:c>
      <x:c r="E2" s="4" t="str">
        <x:v>Feature Gap Analysis</x:v>
      </x:c>
      <x:c r="F2" s="4" t="str">
        <x:v>Feature Gap Analysis</x:v>
      </x:c>
      <x:c r="G2" s="4" t="str">
        <x:v>Feature Gap Analysis</x:v>
      </x:c>
      <x:c r="H2" s="2"/>
    </x:row>
    <x:row r="3" ht="23" customHeight="1">
      <x:c r="A3" s="2"/>
      <x:c r="B3" s="5"/>
      <x:c r="C3" s="5"/>
      <x:c r="D3" s="5"/>
      <x:c r="E3" s="5"/>
      <x:c r="F3" s="5"/>
      <x:c r="G3" s="5"/>
      <x:c r="H3" s="2"/>
    </x:row>
    <x:row r="4" ht="23" customHeight="1">
      <x:c r="A4" s="2"/>
      <x:c r="B4" s="19" t="str">
        <x:v>Comparison status</x:v>
      </x:c>
      <x:c r="C4" s="19" t="str">
        <x:v>Comparison status</x:v>
      </x:c>
      <x:c r="D4" s="19" t="str">
        <x:v>Comparison status</x:v>
      </x:c>
      <x:c r="E4" s="19" t="str">
        <x:v>Comparison status</x:v>
      </x:c>
      <x:c r="F4" s="19" t="str">
        <x:v>Comparison status</x:v>
      </x:c>
      <x:c r="G4" s="19" t="str">
        <x:v>Comparison status</x:v>
      </x:c>
      <x:c r="H4" s="2"/>
    </x:row>
    <x:row r="5" ht="42" customHeight="1">
      <x:c r="A5" s="2"/>
      <x:c r="B5" s="21" t="str">
        <x:v>New and Modified are proposed engineering classifications. Exact overlap, cutoff alignment and model inclusion need validation against the final NT1 baseline inventory.</x:v>
      </x:c>
      <x:c r="C5" s="21" t="str">
        <x:v>New and Modified are proposed engineering classifications. Exact overlap, cutoff alignment and model inclusion need validation against the final NT1 baseline inventory.</x:v>
      </x:c>
      <x:c r="D5" s="21" t="str">
        <x:v>New and Modified are proposed engineering classifications. Exact overlap, cutoff alignment and model inclusion need validation against the final NT1 baseline inventory.</x:v>
      </x:c>
      <x:c r="E5" s="21" t="str">
        <x:v>New and Modified are proposed engineering classifications. Exact overlap, cutoff alignment and model inclusion need validation against the final NT1 baseline inventory.</x:v>
      </x:c>
      <x:c r="F5" s="21" t="str">
        <x:v>New and Modified are proposed engineering classifications. Exact overlap, cutoff alignment and model inclusion need validation against the final NT1 baseline inventory.</x:v>
      </x:c>
      <x:c r="G5" s="21" t="str">
        <x:v>New and Modified are proposed engineering classifications. Exact overlap, cutoff alignment and model inclusion need validation against the final NT1 baseline inventory.</x:v>
      </x:c>
      <x:c r="H5" s="2"/>
    </x:row>
    <x:row r="6" ht="23" customHeight="1">
      <x:c r="A6" s="2"/>
      <x:c r="B6" s="2"/>
      <x:c r="C6" s="2"/>
      <x:c r="D6" s="2"/>
      <x:c r="E6" s="2"/>
      <x:c r="F6" s="2"/>
      <x:c r="G6" s="2"/>
      <x:c r="H6" s="2"/>
    </x:row>
    <x:row r="7" ht="23" customHeight="1">
      <x:c r="A7" s="2"/>
      <x:c r="B7" s="2"/>
      <x:c r="C7" s="2"/>
      <x:c r="D7" s="2"/>
      <x:c r="E7" s="2"/>
      <x:c r="F7" s="2"/>
      <x:c r="G7" s="2"/>
      <x:c r="H7" s="2"/>
    </x:row>
    <x:row r="8" ht="38" customHeight="1">
      <x:c r="A8" s="2"/>
      <x:c r="B8" s="16" t="str">
        <x:v>Trend-derived candidate</x:v>
      </x:c>
      <x:c r="C8" s="16" t="str">
        <x:v>Existing feature set / related field</x:v>
      </x:c>
      <x:c r="D8" s="16" t="str">
        <x:v>Classification</x:v>
      </x:c>
      <x:c r="E8" s="16" t="str">
        <x:v>Priority</x:v>
      </x:c>
      <x:c r="F8" s="16" t="str">
        <x:v>Notes</x:v>
      </x:c>
      <x:c r="G8" s="2"/>
      <x:c r="H8" s="2"/>
    </x:row>
    <x:row r="9" ht="62" customHeight="1">
      <x:c r="A9" s="2"/>
      <x:c r="B9" s="13" t="str">
        <x:v>DISTINCT_GENERICS_270D</x:v>
      </x:c>
      <x:c r="C9" s="13" t="str">
        <x:v>STATIC_avg_active_generics; therapies_tried</x:v>
      </x:c>
      <x:c r="D9" s="13" t="str">
        <x:v>Modified</x:v>
      </x:c>
      <x:c r="E9" s="13" t="str">
        <x:v>High</x:v>
      </x:c>
      <x:c r="F9" s="13" t="str">
        <x:v>Distinct products differs from average active generics. Benchmark lookback / mapping may differ.</x:v>
      </x:c>
      <x:c r="G9" s="2"/>
      <x:c r="H9" s="2"/>
    </x:row>
    <x:row r="10" ht="62" customHeight="1">
      <x:c r="A10" s="2"/>
      <x:c r="B10" s="13" t="str">
        <x:v>THERAPY_CHANGES_270D</x:v>
      </x:c>
      <x:c r="C10" s="13" t="str">
        <x:v>UTIL_generic_* flags; therapy_changes</x:v>
      </x:c>
      <x:c r="D10" s="13" t="str">
        <x:v>Modified</x:v>
      </x:c>
      <x:c r="E10" s="13" t="str">
        <x:v>High</x:v>
      </x:c>
      <x:c r="F10" s="13" t="str">
        <x:v>Count changes in the stated window; confirm add/remove semantics and same-day ordering.</x:v>
      </x:c>
      <x:c r="G10" s="2"/>
      <x:c r="H10" s="2"/>
    </x:row>
    <x:row r="11" ht="62" customHeight="1">
      <x:c r="A11" s="2"/>
      <x:c r="B11" s="13" t="str">
        <x:v>THERAPY_CHANGES_90D</x:v>
      </x:c>
      <x:c r="C11" s="13" t="str">
        <x:v>UTIL_generic_* flags; therapy_changes</x:v>
      </x:c>
      <x:c r="D11" s="13" t="str">
        <x:v>Modified</x:v>
      </x:c>
      <x:c r="E11" s="13" t="str">
        <x:v>High</x:v>
      </x:c>
      <x:c r="F11" s="13" t="str">
        <x:v>Count changes in the stated window; confirm add/remove semantics and same-day ordering.</x:v>
      </x:c>
      <x:c r="G11" s="2"/>
      <x:c r="H11" s="2"/>
    </x:row>
    <x:row r="12" ht="62" customHeight="1">
      <x:c r="A12" s="2"/>
      <x:c r="B12" s="13" t="str">
        <x:v>THERAPY_CHANGES_30D</x:v>
      </x:c>
      <x:c r="C12" s="13" t="str">
        <x:v>UTIL_generic_* flags; therapy_changes</x:v>
      </x:c>
      <x:c r="D12" s="13" t="str">
        <x:v>Modified</x:v>
      </x:c>
      <x:c r="E12" s="13" t="str">
        <x:v>High</x:v>
      </x:c>
      <x:c r="F12" s="13" t="str">
        <x:v>Count changes in the stated window; confirm add/remove semantics and same-day ordering.</x:v>
      </x:c>
      <x:c r="G12" s="2"/>
      <x:c r="H12" s="2"/>
    </x:row>
    <x:row r="13" ht="62" customHeight="1">
      <x:c r="A13" s="2"/>
      <x:c r="B13" s="13" t="str">
        <x:v>RECENT_THERAPY_CHANGE_30D</x:v>
      </x:c>
      <x:c r="C13" s="13" t="str">
        <x:v>UTIL_generic_*; days_since_last_treatment_change</x:v>
      </x:c>
      <x:c r="D13" s="13" t="str">
        <x:v>Modified</x:v>
      </x:c>
      <x:c r="E13" s="13" t="str">
        <x:v>High</x:v>
      </x:c>
      <x:c r="F13" s="13" t="str">
        <x:v>Binary any-change indicator in the specified window; exact baseline equivalent unverified.</x:v>
      </x:c>
      <x:c r="G13" s="2"/>
      <x:c r="H13" s="2"/>
    </x:row>
    <x:row r="14" ht="62" customHeight="1">
      <x:c r="A14" s="2"/>
      <x:c r="B14" s="13" t="str">
        <x:v>RECENT_THERAPY_CHANGE_90D</x:v>
      </x:c>
      <x:c r="C14" s="13" t="str">
        <x:v>UTIL_generic_*; days_since_last_treatment_change</x:v>
      </x:c>
      <x:c r="D14" s="13" t="str">
        <x:v>Modified</x:v>
      </x:c>
      <x:c r="E14" s="13" t="str">
        <x:v>High</x:v>
      </x:c>
      <x:c r="F14" s="13" t="str">
        <x:v>Binary any-change indicator in the specified window; exact baseline equivalent unverified.</x:v>
      </x:c>
      <x:c r="G14" s="2"/>
      <x:c r="H14" s="2"/>
    </x:row>
    <x:row r="15" ht="62" customHeight="1">
      <x:c r="A15" s="2"/>
      <x:c r="B15" s="13" t="str">
        <x:v>DAYS_SINCE_LAST_GENERIC_FILL</x:v>
      </x:c>
      <x:c r="C15" s="13" t="str">
        <x:v>days_since_last_rx (benchmark)</x:v>
      </x:c>
      <x:c r="D15" s="13" t="str">
        <x:v>Modified</x:v>
      </x:c>
      <x:c r="E15" s="13" t="str">
        <x:v>High</x:v>
      </x:c>
      <x:c r="F15" s="13" t="str">
        <x:v>Calculate at EFFECTIVE_DATA_END; reconcile source therapy definition and absent-history handling.</x:v>
      </x:c>
      <x:c r="G15" s="2"/>
      <x:c r="H15" s="2"/>
    </x:row>
    <x:row r="16" ht="62" customHeight="1">
      <x:c r="A16" s="2"/>
      <x:c r="B16" s="13" t="str">
        <x:v>Top DX presence flags 30D / 90D</x:v>
      </x:c>
      <x:c r="C16" s="13" t="str">
        <x:v>DX_* families; diagnosis_count_*</x:v>
      </x:c>
      <x:c r="D16" s="13" t="str">
        <x:v>Modified</x:v>
      </x:c>
      <x:c r="E16" s="13" t="str">
        <x:v>High</x:v>
      </x:c>
      <x:c r="F16" s="13" t="str">
        <x:v>Specific-code presence differs from broad category or activity counts. Raw export required.</x:v>
      </x:c>
      <x:c r="G16" s="2"/>
      <x:c r="H16" s="2"/>
    </x:row>
    <x:row r="17" ht="62" customHeight="1">
      <x:c r="A17" s="2"/>
      <x:c r="B17" s="13" t="str">
        <x:v>Top PX presence flags 30D / 90D</x:v>
      </x:c>
      <x:c r="C17" s="13" t="str">
        <x:v>PX_LEVEL_1_CPT_*; procedure_count_*</x:v>
      </x:c>
      <x:c r="D17" s="13" t="str">
        <x:v>Modified</x:v>
      </x:c>
      <x:c r="E17" s="13" t="str">
        <x:v>High</x:v>
      </x:c>
      <x:c r="F17" s="13" t="str">
        <x:v>Validate raw codes, prevalence and window definitions before selection.</x:v>
      </x:c>
      <x:c r="G17" s="2"/>
      <x:c r="H17" s="2"/>
    </x:row>
    <x:row r="18" ht="62" customHeight="1">
      <x:c r="A18" s="2"/>
      <x:c r="B18" s="13" t="str">
        <x:v>Strong DX/PX frequency and recency</x:v>
      </x:c>
      <x:c r="C18" s="13" t="str">
        <x:v>FIRST_*; days_since_last_diagnosis</x:v>
      </x:c>
      <x:c r="D18" s="13" t="str">
        <x:v>Modified</x:v>
      </x:c>
      <x:c r="E18" s="13" t="str">
        <x:v>High</x:v>
      </x:c>
      <x:c r="F18" s="13" t="str">
        <x:v>First occurrence differs from latest occurrence. Select signals using development data.</x:v>
      </x:c>
      <x:c r="G18" s="2"/>
      <x:c r="H18" s="2"/>
    </x:row>
    <x:row r="19" ht="62" customHeight="1">
      <x:c r="A19" s="2"/>
      <x:c r="B19" s="13" t="str">
        <x:v>Top specialty-exposure flags 30D / 90D</x:v>
      </x:c>
      <x:c r="C19" s="13" t="str">
        <x:v>specialist_visits_30d / 90d (benchmark)</x:v>
      </x:c>
      <x:c r="D19" s="13" t="str">
        <x:v>Modified</x:v>
      </x:c>
      <x:c r="E19" s="13" t="str">
        <x:v>High</x:v>
      </x:c>
      <x:c r="F19" s="13" t="str">
        <x:v>Specialty-specific presence differs from aggregate row counts; export needed.</x:v>
      </x:c>
      <x:c r="G19" s="2"/>
      <x:c r="H19" s="2"/>
    </x:row>
    <x:row r="20" ht="62" customHeight="1">
      <x:c r="A20" s="2"/>
      <x:c r="B20" s="13" t="str">
        <x:v>Days since relevant specialty encounter</x:v>
      </x:c>
      <x:c r="C20" s="13" t="str">
        <x:v>days_since_last_specialist (benchmark)</x:v>
      </x:c>
      <x:c r="D20" s="13" t="str">
        <x:v>Modified</x:v>
      </x:c>
      <x:c r="E20" s="13" t="str">
        <x:v>High</x:v>
      </x:c>
      <x:c r="F20" s="13" t="str">
        <x:v>Confirm encounter grain, specialty mapping and effective-cutoff anchoring.</x:v>
      </x:c>
      <x:c r="G20" s="2"/>
      <x:c r="H20" s="2"/>
    </x:row>
    <x:row r="21" ht="62" customHeight="1">
      <x:c r="A21" s="2"/>
      <x:c r="B21" s="13" t="str">
        <x:v>DISTINCT_SPECIALTIES_90D</x:v>
      </x:c>
      <x:c r="C21" s="13" t="str">
        <x:v>No named equivalent identified</x:v>
      </x:c>
      <x:c r="D21" s="13" t="str">
        <x:v>New</x:v>
      </x:c>
      <x:c r="E21" s="13" t="str">
        <x:v>High</x:v>
      </x:c>
      <x:c r="F21" s="13" t="str">
        <x:v>Proposed new feature; complete NT1 inventory and specialty mappings still needed.</x:v>
      </x:c>
      <x:c r="G21" s="2"/>
      <x:c r="H21" s="2"/>
    </x:row>
    <x:row r="22" ht="62" customHeight="1">
      <x:c r="A22" s="2"/>
      <x:c r="B22" s="13" t="str">
        <x:v>Raw medical-event count</x:v>
      </x:c>
      <x:c r="C22" s="13" t="str">
        <x:v>UTIL_medical_claim_count</x:v>
      </x:c>
      <x:c r="D22" s="13" t="str">
        <x:v>Existing</x:v>
      </x:c>
      <x:c r="E22" s="13" t="str">
        <x:v>Lower</x:v>
      </x:c>
      <x:c r="F22" s="13" t="str">
        <x:v>Broad counts show limited separation; confirm window equivalence.</x:v>
      </x:c>
      <x:c r="G22" s="2"/>
      <x:c r="H22" s="2"/>
    </x:row>
    <x:row r="23" ht="62" customHeight="1">
      <x:c r="A23" s="2"/>
      <x:c r="B23" s="13" t="str">
        <x:v>Raw provider count</x:v>
      </x:c>
      <x:c r="C23" s="13" t="str">
        <x:v>No named exact equivalent supplied</x:v>
      </x:c>
      <x:c r="D23" s="13" t="str">
        <x:v>Needs Validation</x:v>
      </x:c>
      <x:c r="E23" s="13" t="str">
        <x:v>Lower</x:v>
      </x:c>
      <x:c r="F23" s="13" t="str">
        <x:v>Counts broadly similar; do not infer absence from an incomplete inventory.</x:v>
      </x:c>
      <x:c r="G23" s="2"/>
      <x:c r="H23" s="2"/>
    </x:row>
    <x:row r="24" ht="62" customHeight="1">
      <x:c r="A24" s="2"/>
      <x:c r="B24" s="13" t="str">
        <x:v>Plan diversity</x:v>
      </x:c>
      <x:c r="C24" s="13" t="str">
        <x:v>No named exact equivalent supplied</x:v>
      </x:c>
      <x:c r="D24" s="13" t="str">
        <x:v>Needs Validation</x:v>
      </x:c>
      <x:c r="E24" s="13" t="str">
        <x:v>Lower</x:v>
      </x:c>
      <x:c r="F24" s="13" t="str">
        <x:v>Minimal separation; exact existing coverage unknown.</x:v>
      </x:c>
      <x:c r="G24" s="2"/>
      <x:c r="H24" s="2"/>
    </x:row>
    <x:row r="25" ht="62" customHeight="1">
      <x:c r="A25" s="2"/>
      <x:c r="B25" s="13" t="str">
        <x:v>Plan-change count</x:v>
      </x:c>
      <x:c r="C25" s="13" t="str">
        <x:v>No named exact equivalent supplied</x:v>
      </x:c>
      <x:c r="D25" s="13" t="str">
        <x:v>Needs Validation</x:v>
      </x:c>
      <x:c r="E25" s="13" t="str">
        <x:v>Lower</x:v>
      </x:c>
      <x:c r="F25" s="13" t="str">
        <x:v>Minimal separation; exact existing coverage unknown.</x:v>
      </x:c>
      <x:c r="G25" s="2"/>
      <x:c r="H25" s="2"/>
    </x:row>
    <x:row r="26" ht="23" customHeight="1">
      <x:c r="A26" s="2"/>
      <x:c r="B26" s="2"/>
      <x:c r="C26" s="2"/>
      <x:c r="D26" s="2"/>
      <x:c r="E26" s="2"/>
      <x:c r="F26" s="2"/>
      <x:c r="G26" s="2"/>
      <x:c r="H26" s="2"/>
    </x:row>
    <x:row r="27" ht="23" customHeight="1">
      <x:c r="A27" s="2"/>
      <x:c r="B27" s="2"/>
      <x:c r="C27" s="2"/>
      <x:c r="D27" s="2"/>
      <x:c r="E27" s="2"/>
      <x:c r="F27" s="2"/>
      <x:c r="G27" s="2"/>
      <x:c r="H27" s="2"/>
    </x:row>
    <x:row r="28" ht="23" customHeight="1">
      <x:c r="A28" s="2"/>
      <x:c r="B28" s="8" t="str">
        <x:v>Model implication</x:v>
      </x:c>
      <x:c r="C28" s="8" t="str">
        <x:v>Model implication</x:v>
      </x:c>
      <x:c r="D28" s="8" t="str">
        <x:v>Model implication</x:v>
      </x:c>
      <x:c r="E28" s="8" t="str">
        <x:v>Model implication</x:v>
      </x:c>
      <x:c r="F28" s="8" t="str">
        <x:v>Model implication</x:v>
      </x:c>
      <x:c r="G28" s="8" t="str">
        <x:v>Model implication</x:v>
      </x:c>
      <x:c r="H28" s="2"/>
    </x:row>
    <x:row r="29" ht="44" customHeight="1">
      <x:c r="A29" s="2"/>
      <x:c r="B29" s="10" t="str">
        <x:v>Test strongest candidates in LightGBM first. Track incremental value after accounting for correlated existing predictors; descriptive separation alone may disappear after adjustment.</x:v>
      </x:c>
      <x:c r="C29" s="10" t="str">
        <x:v>Test strongest candidates in LightGBM first. Track incremental value after accounting for correlated existing predictors; descriptive separation alone may disappear after adjustment.</x:v>
      </x:c>
      <x:c r="D29" s="10" t="str">
        <x:v>Test strongest candidates in LightGBM first. Track incremental value after accounting for correlated existing predictors; descriptive separation alone may disappear after adjustment.</x:v>
      </x:c>
      <x:c r="E29" s="10" t="str">
        <x:v>Test strongest candidates in LightGBM first. Track incremental value after accounting for correlated existing predictors; descriptive separation alone may disappear after adjustment.</x:v>
      </x:c>
      <x:c r="F29" s="10" t="str">
        <x:v>Test strongest candidates in LightGBM first. Track incremental value after accounting for correlated existing predictors; descriptive separation alone may disappear after adjustment.</x:v>
      </x:c>
      <x:c r="G29" s="10" t="str">
        <x:v>Test strongest candidates in LightGBM first. Track incremental value after accounting for correlated existing predictors; descriptive separation alone may disappear after adjustment.</x:v>
      </x:c>
      <x:c r="H29" s="2"/>
    </x:row>
    <x:row r="30" ht="23" customHeight="1">
      <x:c r="A30" s="2"/>
      <x:c r="B30" s="2"/>
      <x:c r="C30" s="2"/>
      <x:c r="D30" s="2"/>
      <x:c r="E30" s="2"/>
      <x:c r="F30" s="2"/>
      <x:c r="G30" s="2"/>
      <x:c r="H30" s="2"/>
    </x:row>
    <x:row r="31" ht="23" customHeight="1">
      <x:c r="A31" s="2"/>
      <x:c r="B31" s="8" t="str">
        <x:v>Classification key</x:v>
      </x:c>
      <x:c r="C31" s="8" t="str">
        <x:v>Classification key</x:v>
      </x:c>
      <x:c r="D31" s="8" t="str">
        <x:v>Classification key</x:v>
      </x:c>
      <x:c r="E31" s="8" t="str">
        <x:v>Classification key</x:v>
      </x:c>
      <x:c r="F31" s="8" t="str">
        <x:v>Classification key</x:v>
      </x:c>
      <x:c r="G31" s="8" t="str">
        <x:v>Classification key</x:v>
      </x:c>
      <x:c r="H31" s="2"/>
    </x:row>
    <x:row r="32" ht="50" customHeight="1">
      <x:c r="A32" s="2"/>
      <x:c r="B32" s="10" t="str">
        <x:v>Existing: named feature or family supplied. New: proposed new construction with no named match found. Modified: related field exists but construction changes. Needs Validation: evidence is insufficient to decide.</x:v>
      </x:c>
      <x:c r="C32" s="10" t="str">
        <x:v>Existing: named feature or family supplied. New: proposed new construction with no named match found. Modified: related field exists but construction changes. Needs Validation: evidence is insufficient to decide.</x:v>
      </x:c>
      <x:c r="D32" s="10" t="str">
        <x:v>Existing: named feature or family supplied. New: proposed new construction with no named match found. Modified: related field exists but construction changes. Needs Validation: evidence is insufficient to decide.</x:v>
      </x:c>
      <x:c r="E32" s="10" t="str">
        <x:v>Existing: named feature or family supplied. New: proposed new construction with no named match found. Modified: related field exists but construction changes. Needs Validation: evidence is insufficient to decide.</x:v>
      </x:c>
      <x:c r="F32" s="10" t="str">
        <x:v>Existing: named feature or family supplied. New: proposed new construction with no named match found. Modified: related field exists but construction changes. Needs Validation: evidence is insufficient to decide.</x:v>
      </x:c>
      <x:c r="G32" s="10" t="str">
        <x:v>Existing: named feature or family supplied. New: proposed new construction with no named match found. Modified: related field exists but construction changes. Needs Validation: evidence is insufficient to decide.</x:v>
      </x:c>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23" customHeight="1">
      <x:c r="A39" s="2"/>
      <x:c r="B39" s="2"/>
      <x:c r="C39" s="2"/>
      <x:c r="D39" s="2"/>
      <x:c r="E39" s="2"/>
      <x:c r="F39" s="2"/>
      <x:c r="G39" s="2"/>
      <x:c r="H39" s="2"/>
    </x:row>
  </x:sheetData>
  <x:mergeCells>
    <x:mergeCell ref="B2:G2"/>
    <x:mergeCell ref="B4:G4"/>
    <x:mergeCell ref="B5:G5"/>
    <x:mergeCell ref="B28:G28"/>
    <x:mergeCell ref="B29:G29"/>
    <x:mergeCell ref="B31:G31"/>
    <x:mergeCell ref="B32:G32"/>
  </x:mergeCells>
  <x:conditionalFormatting sqref="D9:D25">
    <x:cfRule type="containsText" dxfId="30" priority="1" operator="containsText" text="STRONG"/>
    <x:cfRule type="containsText" dxfId="31" priority="2" operator="containsText" text="PROMISING"/>
    <x:cfRule type="containsText" dxfId="32" priority="3" operator="containsText" text="WEAK"/>
    <x:cfRule type="containsText" dxfId="33" priority="4" operator="containsText" text="Needs Validation"/>
    <x:cfRule type="containsText" dxfId="34" priority="5" operator="containsText" text="Missing"/>
  </x:conditionalFormatting>
  <x:pageMargins left="0.7" right="0.7" top="0.75" bottom="0.75" header="0.3" footer="0.3"/>
  <x:tableParts count="1">
    <x:tablePart xmlns:r="http://schemas.openxmlformats.org/officeDocument/2006/relationships" r:id="Rcb2aae9f32d24e92"/>
  </x:tableParts>
</x:worksheet>
</file>

<file path=xl/worksheets/sheet11.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8.75" hidden="0" customWidth="1"/>
    <x:col min="3" max="3" width="43.75" hidden="0" customWidth="1"/>
    <x:col min="4" max="4" width="42.5" hidden="0" customWidth="1"/>
    <x:col min="5" max="5" width="37.5" hidden="0" customWidth="1"/>
    <x:col min="6" max="6" width="2.5" hidden="0" customWidth="1"/>
    <x:col min="7" max="7" width="2.5" hidden="0" customWidth="1"/>
    <x:col min="8" max="8" width="3" hidden="0" customWidth="1"/>
  </x:cols>
  <x:sheetData>
    <x:row r="1" ht="23" customHeight="1">
      <x:c r="A1" s="2"/>
      <x:c r="B1" s="2"/>
      <x:c r="C1" s="2"/>
      <x:c r="D1" s="2"/>
      <x:c r="E1" s="2"/>
      <x:c r="F1" s="2"/>
      <x:c r="G1" s="2"/>
      <x:c r="H1" s="2"/>
    </x:row>
    <x:row r="2" ht="32" customHeight="1">
      <x:c r="A2" s="2"/>
      <x:c r="B2" s="4" t="str">
        <x:v>Modeling Strategy</x:v>
      </x:c>
      <x:c r="C2" s="4" t="str">
        <x:v>Modeling Strategy</x:v>
      </x:c>
      <x:c r="D2" s="4" t="str">
        <x:v>Modeling Strategy</x:v>
      </x:c>
      <x:c r="E2" s="4" t="str">
        <x:v>Modeling Strategy</x:v>
      </x:c>
      <x:c r="F2" s="4" t="str">
        <x:v>Modeling Strategy</x:v>
      </x:c>
      <x:c r="G2" s="4" t="str">
        <x:v>Modeling Strategy</x:v>
      </x:c>
      <x:c r="H2" s="2"/>
    </x:row>
    <x:row r="3" ht="23" customHeight="1">
      <x:c r="A3" s="2"/>
      <x:c r="B3" s="5"/>
      <x:c r="C3" s="5"/>
      <x:c r="D3" s="5"/>
      <x:c r="E3" s="5"/>
      <x:c r="F3" s="5"/>
      <x:c r="G3" s="5"/>
      <x:c r="H3" s="2"/>
    </x:row>
    <x:row r="4" ht="23" customHeight="1">
      <x:c r="A4" s="2"/>
      <x:c r="B4" s="8" t="str">
        <x:v>Key principle</x:v>
      </x:c>
      <x:c r="C4" s="8" t="str">
        <x:v>Key principle</x:v>
      </x:c>
      <x:c r="D4" s="8" t="str">
        <x:v>Key principle</x:v>
      </x:c>
      <x:c r="E4" s="8" t="str">
        <x:v>Key principle</x:v>
      </x:c>
      <x:c r="F4" s="8" t="str">
        <x:v>Key principle</x:v>
      </x:c>
      <x:c r="G4" s="8" t="str">
        <x:v>Key principle</x:v>
      </x:c>
      <x:c r="H4" s="2"/>
    </x:row>
    <x:row r="5" ht="36" customHeight="1">
      <x:c r="A5" s="2"/>
      <x:c r="B5" s="10" t="str">
        <x:v>First prove feature value in a strong baseline model. Then test whether deep sequence models add incremental lift.</x:v>
      </x:c>
      <x:c r="C5" s="10" t="str">
        <x:v>First prove feature value in a strong baseline model. Then test whether deep sequence models add incremental lift.</x:v>
      </x:c>
      <x:c r="D5" s="10" t="str">
        <x:v>First prove feature value in a strong baseline model. Then test whether deep sequence models add incremental lift.</x:v>
      </x:c>
      <x:c r="E5" s="10" t="str">
        <x:v>First prove feature value in a strong baseline model. Then test whether deep sequence models add incremental lift.</x:v>
      </x:c>
      <x:c r="F5" s="10" t="str">
        <x:v>First prove feature value in a strong baseline model. Then test whether deep sequence models add incremental lift.</x:v>
      </x:c>
      <x:c r="G5" s="10" t="str">
        <x:v>First prove feature value in a strong baseline model. Then test whether deep sequence models add incremental lift.</x:v>
      </x:c>
      <x:c r="H5" s="2"/>
    </x:row>
    <x:row r="6" ht="23" customHeight="1">
      <x:c r="A6" s="2"/>
      <x:c r="B6" s="2"/>
      <x:c r="C6" s="2"/>
      <x:c r="D6" s="2"/>
      <x:c r="E6" s="2"/>
      <x:c r="F6" s="2"/>
      <x:c r="G6" s="2"/>
      <x:c r="H6" s="2"/>
    </x:row>
    <x:row r="7" ht="23" customHeight="1">
      <x:c r="A7" s="2"/>
      <x:c r="B7" s="2"/>
      <x:c r="C7" s="2"/>
      <x:c r="D7" s="2"/>
      <x:c r="E7" s="2"/>
      <x:c r="F7" s="2"/>
      <x:c r="G7" s="2"/>
      <x:c r="H7" s="2"/>
    </x:row>
    <x:row r="8" ht="38" customHeight="1">
      <x:c r="A8" s="2"/>
      <x:c r="B8" s="16" t="str">
        <x:v>Step</x:v>
      </x:c>
      <x:c r="C8" s="16" t="str">
        <x:v>Action</x:v>
      </x:c>
      <x:c r="D8" s="16" t="str">
        <x:v>Method / scope</x:v>
      </x:c>
      <x:c r="E8" s="16" t="str">
        <x:v>Output</x:v>
      </x:c>
      <x:c r="F8" s="2"/>
      <x:c r="G8" s="2"/>
      <x:c r="H8" s="2"/>
    </x:row>
    <x:row r="9" ht="62" customHeight="1">
      <x:c r="A9" s="2"/>
      <x:c r="B9" s="13" t="str">
        <x:v>1</x:v>
      </x:c>
      <x:c r="C9" s="13" t="str">
        <x:v>Freeze rules and final eligible population</x:v>
      </x:c>
      <x:c r="D9" s="13" t="str">
        <x:v>Confirm exclusion, cutoff, target and observable negatives</x:v>
      </x:c>
      <x:c r="E9" s="13" t="str">
        <x:v>Reconciled rules and population</x:v>
      </x:c>
      <x:c r="F9" s="2"/>
      <x:c r="G9" s="2"/>
      <x:c r="H9" s="2"/>
    </x:row>
    <x:row r="10" ht="62" customHeight="1">
      <x:c r="A10" s="2"/>
      <x:c r="B10" s="13" t="str">
        <x:v>2</x:v>
      </x:c>
      <x:c r="C10" s="13" t="str">
        <x:v>Consolidate snapshot-level features</x:v>
      </x:c>
      <x:c r="D10" s="13" t="str">
        <x:v>One patient / month-end index key; feature cutoff enforced</x:v>
      </x:c>
      <x:c r="E10" s="13" t="str">
        <x:v>Final training table</x:v>
      </x:c>
      <x:c r="F10" s="2"/>
      <x:c r="G10" s="2"/>
      <x:c r="H10" s="2"/>
    </x:row>
    <x:row r="11" ht="62" customHeight="1">
      <x:c r="A11" s="2"/>
      <x:c r="B11" s="13" t="str">
        <x:v>3</x:v>
      </x:c>
      <x:c r="C11" s="13" t="str">
        <x:v>Run feature QA</x:v>
      </x:c>
      <x:c r="D11" s="13" t="str">
        <x:v>Missingness; prevalence; leakage; temporal stability; redundancy / correlation</x:v>
      </x:c>
      <x:c r="E11" s="13" t="str">
        <x:v>Feature QA report</x:v>
      </x:c>
      <x:c r="F11" s="2"/>
      <x:c r="G11" s="2"/>
      <x:c r="H11" s="2"/>
    </x:row>
    <x:row r="12" ht="62" customHeight="1">
      <x:c r="A12" s="2"/>
      <x:c r="B12" s="13" t="str">
        <x:v>4</x:v>
      </x:c>
      <x:c r="C12" s="13" t="str">
        <x:v>Compare with existing features</x:v>
      </x:c>
      <x:c r="D12" s="13" t="str">
        <x:v>Resolve overlap, coding granularity and timing definitions</x:v>
      </x:c>
      <x:c r="E12" s="13" t="str">
        <x:v>Validated feature-gap inventory</x:v>
      </x:c>
      <x:c r="F12" s="2"/>
      <x:c r="G12" s="2"/>
      <x:c r="H12" s="2"/>
    </x:row>
    <x:row r="13" ht="62" customHeight="1">
      <x:c r="A13" s="2"/>
      <x:c r="B13" s="13" t="str">
        <x:v>5</x:v>
      </x:c>
      <x:c r="C13" s="13" t="str">
        <x:v>Augment baseline LightGBM</x:v>
      </x:c>
      <x:c r="D13" s="13" t="str">
        <x:v>Add strongest new or modified candidates first</x:v>
      </x:c>
      <x:c r="E13" s="13" t="str">
        <x:v>Comparable baseline and augmented runs</x:v>
      </x:c>
      <x:c r="F13" s="2"/>
      <x:c r="G13" s="2"/>
      <x:c r="H13" s="2"/>
    </x:row>
    <x:row r="14" ht="62" customHeight="1">
      <x:c r="A14" s="2"/>
      <x:c r="B14" s="13" t="str">
        <x:v>6</x:v>
      </x:c>
      <x:c r="C14" s="13" t="str">
        <x:v>Run ablation testing</x:v>
      </x:c>
      <x:c r="D14" s="13" t="str">
        <x:v>Baseline; + Therapy Sequence; + Diagnosis / Procedure; + Specialty Exposure; + Plan / Access</x:v>
      </x:c>
      <x:c r="E14" s="13" t="str">
        <x:v>Cumulative comparisons plus group-removal checks</x:v>
      </x:c>
      <x:c r="F14" s="2"/>
      <x:c r="G14" s="2"/>
      <x:c r="H14" s="2"/>
    </x:row>
    <x:row r="15" ht="62" customHeight="1">
      <x:c r="A15" s="2"/>
      <x:c r="B15" s="13" t="str">
        <x:v>7</x:v>
      </x:c>
      <x:c r="C15" s="13" t="str">
        <x:v>Use temporal / out-of-time validation</x:v>
      </x:c>
      <x:c r="D15" s="13" t="str">
        <x:v>Define chronological splits, mature labels and patient overlap policy; select features on training data</x:v>
      </x:c>
      <x:c r="E15" s="13" t="str">
        <x:v>Frozen evaluation design</x:v>
      </x:c>
      <x:c r="F15" s="2"/>
      <x:c r="G15" s="2"/>
      <x:c r="H15" s="2"/>
    </x:row>
    <x:row r="16" ht="62" customHeight="1">
      <x:c r="A16" s="2"/>
      <x:c r="B16" s="13" t="str">
        <x:v>8</x:v>
      </x:c>
      <x:c r="C16" s="13" t="str">
        <x:v>Evaluate imbalance and ranking</x:v>
      </x:c>
      <x:c r="D16" s="13" t="str">
        <x:v>Average precision / PR-AUC method; precision, recall and lift at fixed capacity; calibration</x:v>
      </x:c>
      <x:c r="E16" s="13" t="str">
        <x:v>Same cohort and capacity across models</x:v>
      </x:c>
      <x:c r="F16" s="2"/>
      <x:c r="G16" s="2"/>
      <x:c r="H16" s="2"/>
    </x:row>
    <x:row r="17" ht="62" customHeight="1">
      <x:c r="A17" s="2"/>
      <x:c r="B17" s="13" t="str">
        <x:v>9</x:v>
      </x:c>
      <x:c r="C17" s="13" t="str">
        <x:v>Use SHAP / feature attribution</x:v>
      </x:c>
      <x:c r="D17" s="13" t="str">
        <x:v>Assess feature contributions, stability and redundancy</x:v>
      </x:c>
      <x:c r="E17" s="13" t="str">
        <x:v>Interpretation; no causal claim</x:v>
      </x:c>
      <x:c r="F17" s="2"/>
      <x:c r="G17" s="2"/>
      <x:c r="H17" s="2"/>
    </x:row>
    <x:row r="18" ht="62" customHeight="1">
      <x:c r="A18" s="2"/>
      <x:c r="B18" s="13" t="str">
        <x:v>10</x:v>
      </x:c>
      <x:c r="C18" s="13" t="str">
        <x:v>Benchmark MLP, GRU and Transformer</x:v>
      </x:c>
      <x:c r="D18" s="13" t="str">
        <x:v>Only after engineered features establish incremental value</x:v>
      </x:c>
      <x:c r="E18" s="13" t="str">
        <x:v>Neural benchmark with same evaluation rules</x:v>
      </x:c>
      <x:c r="F18" s="2"/>
      <x:c r="G18" s="2"/>
      <x:c r="H18" s="2"/>
    </x:row>
    <x:row r="19" ht="62" customHeight="1">
      <x:c r="A19" s="2"/>
      <x:c r="B19" s="13" t="str">
        <x:v>11</x:v>
      </x:c>
      <x:c r="C19" s="13" t="str">
        <x:v>Compare sequence models to engineered baseline</x:v>
      </x:c>
      <x:c r="D19" s="13" t="str">
        <x:v>Use consistent eligibility, label timing, evaluation cohort and compute reporting</x:v>
      </x:c>
      <x:c r="E19" s="13" t="str">
        <x:v>Evidence of added value or no added value</x:v>
      </x:c>
      <x:c r="F19" s="2"/>
      <x:c r="G19" s="2"/>
      <x:c r="H19" s="2"/>
    </x:row>
    <x:row r="20" ht="23" customHeight="1">
      <x:c r="A20" s="2"/>
      <x:c r="B20" s="2"/>
      <x:c r="C20" s="2"/>
      <x:c r="D20" s="2"/>
      <x:c r="E20" s="2"/>
      <x:c r="F20" s="2"/>
      <x:c r="G20" s="2"/>
      <x:c r="H20" s="2"/>
    </x:row>
    <x:row r="21" ht="23" customHeight="1">
      <x:c r="A21" s="2"/>
      <x:c r="B21" s="2"/>
      <x:c r="C21" s="2"/>
      <x:c r="D21" s="2"/>
      <x:c r="E21" s="2"/>
      <x:c r="F21" s="2"/>
      <x:c r="G21" s="2"/>
      <x:c r="H21" s="2"/>
    </x:row>
    <x:row r="22" ht="23" customHeight="1">
      <x:c r="A22" s="2"/>
      <x:c r="B22" s="8" t="str">
        <x:v>Ablation comparison</x:v>
      </x:c>
      <x:c r="C22" s="8" t="str">
        <x:v>Ablation comparison</x:v>
      </x:c>
      <x:c r="D22" s="8" t="str">
        <x:v>Ablation comparison</x:v>
      </x:c>
      <x:c r="E22" s="8" t="str">
        <x:v>Ablation comparison</x:v>
      </x:c>
      <x:c r="F22" s="8" t="str">
        <x:v>Ablation comparison</x:v>
      </x:c>
      <x:c r="G22" s="8" t="str">
        <x:v>Ablation comparison</x:v>
      </x:c>
      <x:c r="H22" s="2"/>
    </x:row>
    <x:row r="23" ht="44" customHeight="1">
      <x:c r="A23" s="2"/>
      <x:c r="B23" s="10" t="str">
        <x:v>Baseline → Baseline + Therapy Sequence → + Diagnosis / Procedure → + Specialty Exposure → + Plan / Access. Reuse the same evaluation population so differences reflect feature sets.</x:v>
      </x:c>
      <x:c r="C23" s="10" t="str">
        <x:v>Baseline → Baseline + Therapy Sequence → + Diagnosis / Procedure → + Specialty Exposure → + Plan / Access. Reuse the same evaluation population so differences reflect feature sets.</x:v>
      </x:c>
      <x:c r="D23" s="10" t="str">
        <x:v>Baseline → Baseline + Therapy Sequence → + Diagnosis / Procedure → + Specialty Exposure → + Plan / Access. Reuse the same evaluation population so differences reflect feature sets.</x:v>
      </x:c>
      <x:c r="E23" s="10" t="str">
        <x:v>Baseline → Baseline + Therapy Sequence → + Diagnosis / Procedure → + Specialty Exposure → + Plan / Access. Reuse the same evaluation population so differences reflect feature sets.</x:v>
      </x:c>
      <x:c r="F23" s="10" t="str">
        <x:v>Baseline → Baseline + Therapy Sequence → + Diagnosis / Procedure → + Specialty Exposure → + Plan / Access. Reuse the same evaluation population so differences reflect feature sets.</x:v>
      </x:c>
      <x:c r="G23" s="10" t="str">
        <x:v>Baseline → Baseline + Therapy Sequence → + Diagnosis / Procedure → + Specialty Exposure → + Plan / Access. Reuse the same evaluation population so differences reflect feature sets.</x:v>
      </x:c>
      <x:c r="H23" s="2"/>
    </x:row>
    <x:row r="24" ht="23" customHeight="1">
      <x:c r="A24" s="2"/>
      <x:c r="B24" s="2"/>
      <x:c r="C24" s="2"/>
      <x:c r="D24" s="2"/>
      <x:c r="E24" s="2"/>
      <x:c r="F24" s="2"/>
      <x:c r="G24" s="2"/>
      <x:c r="H24" s="2"/>
    </x:row>
    <x:row r="25" ht="23" customHeight="1">
      <x:c r="A25" s="2"/>
      <x:c r="B25" s="8" t="str">
        <x:v>Metric definitions</x:v>
      </x:c>
      <x:c r="C25" s="8" t="str">
        <x:v>Metric definitions</x:v>
      </x:c>
      <x:c r="D25" s="8" t="str">
        <x:v>Metric definitions</x:v>
      </x:c>
      <x:c r="E25" s="8" t="str">
        <x:v>Metric definitions</x:v>
      </x:c>
      <x:c r="F25" s="8" t="str">
        <x:v>Metric definitions</x:v>
      </x:c>
      <x:c r="G25" s="8" t="str">
        <x:v>Metric definitions</x:v>
      </x:c>
      <x:c r="H25" s="2"/>
    </x:row>
    <x:row r="26" ht="48" customHeight="1">
      <x:c r="A26" s="2"/>
      <x:c r="B26" s="10" t="str">
        <x:v>Precision@capacity: initiators among selected snapshots. Recall@capacity: selected initiators among all initiators. Lift@capacity: precision divided by evaluation prevalence. Capacity must be fixed before comparison.</x:v>
      </x:c>
      <x:c r="C26" s="10" t="str">
        <x:v>Precision@capacity: initiators among selected snapshots. Recall@capacity: selected initiators among all initiators. Lift@capacity: precision divided by evaluation prevalence. Capacity must be fixed before comparison.</x:v>
      </x:c>
      <x:c r="D26" s="10" t="str">
        <x:v>Precision@capacity: initiators among selected snapshots. Recall@capacity: selected initiators among all initiators. Lift@capacity: precision divided by evaluation prevalence. Capacity must be fixed before comparison.</x:v>
      </x:c>
      <x:c r="E26" s="10" t="str">
        <x:v>Precision@capacity: initiators among selected snapshots. Recall@capacity: selected initiators among all initiators. Lift@capacity: precision divided by evaluation prevalence. Capacity must be fixed before comparison.</x:v>
      </x:c>
      <x:c r="F26" s="10" t="str">
        <x:v>Precision@capacity: initiators among selected snapshots. Recall@capacity: selected initiators among all initiators. Lift@capacity: precision divided by evaluation prevalence. Capacity must be fixed before comparison.</x:v>
      </x:c>
      <x:c r="G26" s="10" t="str">
        <x:v>Precision@capacity: initiators among selected snapshots. Recall@capacity: selected initiators among all initiators. Lift@capacity: precision divided by evaluation prevalence. Capacity must be fixed before comparison.</x:v>
      </x:c>
      <x:c r="H26" s="2"/>
    </x:row>
    <x:row r="27" ht="23" customHeight="1">
      <x:c r="A27" s="2"/>
      <x:c r="B27" s="2"/>
      <x:c r="C27" s="2"/>
      <x:c r="D27" s="2"/>
      <x:c r="E27" s="2"/>
      <x:c r="F27" s="2"/>
      <x:c r="G27" s="2"/>
      <x:c r="H27" s="2"/>
    </x:row>
    <x:row r="28" ht="23" customHeight="1">
      <x:c r="A28" s="2"/>
      <x:c r="B28" s="8" t="str">
        <x:v>Validation controls</x:v>
      </x:c>
      <x:c r="C28" s="8" t="str">
        <x:v>Validation controls</x:v>
      </x:c>
      <x:c r="D28" s="8" t="str">
        <x:v>Validation controls</x:v>
      </x:c>
      <x:c r="E28" s="8" t="str">
        <x:v>Validation controls</x:v>
      </x:c>
      <x:c r="F28" s="8" t="str">
        <x:v>Validation controls</x:v>
      </x:c>
      <x:c r="G28" s="8" t="str">
        <x:v>Validation controls</x:v>
      </x:c>
      <x:c r="H28" s="2"/>
    </x:row>
    <x:row r="29" ht="48" customHeight="1">
      <x:c r="A29" s="2"/>
      <x:c r="B29" s="10" t="str">
        <x:v>Account for repeated snapshots per patient when splitting and estimating uncertainty. Prevent training labels from overlapping evaluation timing. Tune and select on development data, then evaluate once on reserved time periods.</x:v>
      </x:c>
      <x:c r="C29" s="10" t="str">
        <x:v>Account for repeated snapshots per patient when splitting and estimating uncertainty. Prevent training labels from overlapping evaluation timing. Tune and select on development data, then evaluate once on reserved time periods.</x:v>
      </x:c>
      <x:c r="D29" s="10" t="str">
        <x:v>Account for repeated snapshots per patient when splitting and estimating uncertainty. Prevent training labels from overlapping evaluation timing. Tune and select on development data, then evaluate once on reserved time periods.</x:v>
      </x:c>
      <x:c r="E29" s="10" t="str">
        <x:v>Account for repeated snapshots per patient when splitting and estimating uncertainty. Prevent training labels from overlapping evaluation timing. Tune and select on development data, then evaluate once on reserved time periods.</x:v>
      </x:c>
      <x:c r="F29" s="10" t="str">
        <x:v>Account for repeated snapshots per patient when splitting and estimating uncertainty. Prevent training labels from overlapping evaluation timing. Tune and select on development data, then evaluate once on reserved time periods.</x:v>
      </x:c>
      <x:c r="G29" s="10" t="str">
        <x:v>Account for repeated snapshots per patient when splitting and estimating uncertainty. Prevent training labels from overlapping evaluation timing. Tune and select on development data, then evaluate once on reserved time periods.</x:v>
      </x:c>
      <x:c r="H29" s="2"/>
    </x:row>
    <x:row r="30" ht="23" customHeight="1">
      <x:c r="A30" s="2"/>
      <x:c r="B30" s="2"/>
      <x:c r="C30" s="2"/>
      <x:c r="D30" s="2"/>
      <x:c r="E30" s="2"/>
      <x:c r="F30" s="2"/>
      <x:c r="G30" s="2"/>
      <x:c r="H30" s="2"/>
    </x:row>
    <x:row r="31" ht="23" customHeight="1">
      <x:c r="A31" s="2"/>
      <x:c r="B31" s="19" t="str">
        <x:v>Evidence required for model lift</x:v>
      </x:c>
      <x:c r="C31" s="19" t="str">
        <x:v>Evidence required for model lift</x:v>
      </x:c>
      <x:c r="D31" s="19" t="str">
        <x:v>Evidence required for model lift</x:v>
      </x:c>
      <x:c r="E31" s="19" t="str">
        <x:v>Evidence required for model lift</x:v>
      </x:c>
      <x:c r="F31" s="19" t="str">
        <x:v>Evidence required for model lift</x:v>
      </x:c>
      <x:c r="G31" s="19" t="str">
        <x:v>Evidence required for model lift</x:v>
      </x:c>
      <x:c r="H31" s="2"/>
    </x:row>
    <x:row r="32" ht="44" customHeight="1">
      <x:c r="A32" s="2"/>
      <x:c r="B32" s="21" t="str">
        <x:v>Report held-out performance, baseline differences and uncertainty on the same cohort. No model scores, significance tests or measured lift are supplied in this workbook.</x:v>
      </x:c>
      <x:c r="C32" s="21" t="str">
        <x:v>Report held-out performance, baseline differences and uncertainty on the same cohort. No model scores, significance tests or measured lift are supplied in this workbook.</x:v>
      </x:c>
      <x:c r="D32" s="21" t="str">
        <x:v>Report held-out performance, baseline differences and uncertainty on the same cohort. No model scores, significance tests or measured lift are supplied in this workbook.</x:v>
      </x:c>
      <x:c r="E32" s="21" t="str">
        <x:v>Report held-out performance, baseline differences and uncertainty on the same cohort. No model scores, significance tests or measured lift are supplied in this workbook.</x:v>
      </x:c>
      <x:c r="F32" s="21" t="str">
        <x:v>Report held-out performance, baseline differences and uncertainty on the same cohort. No model scores, significance tests or measured lift are supplied in this workbook.</x:v>
      </x:c>
      <x:c r="G32" s="21" t="str">
        <x:v>Report held-out performance, baseline differences and uncertainty on the same cohort. No model scores, significance tests or measured lift are supplied in this workbook.</x:v>
      </x:c>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23" customHeight="1">
      <x:c r="A39" s="2"/>
      <x:c r="B39" s="2"/>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row r="43" ht="23" customHeight="1">
      <x:c r="A43" s="2"/>
      <x:c r="B43" s="2"/>
      <x:c r="C43" s="2"/>
      <x:c r="D43" s="2"/>
      <x:c r="E43" s="2"/>
      <x:c r="F43" s="2"/>
      <x:c r="G43" s="2"/>
      <x:c r="H43" s="2"/>
    </x:row>
  </x:sheetData>
  <x:mergeCells>
    <x:mergeCell ref="B2:G2"/>
    <x:mergeCell ref="B4:G4"/>
    <x:mergeCell ref="B5:G5"/>
    <x:mergeCell ref="B22:G22"/>
    <x:mergeCell ref="B23:G23"/>
    <x:mergeCell ref="B25:G25"/>
    <x:mergeCell ref="B26:G26"/>
    <x:mergeCell ref="B28:G28"/>
    <x:mergeCell ref="B29:G29"/>
    <x:mergeCell ref="B31:G31"/>
    <x:mergeCell ref="B32:G32"/>
  </x:mergeCells>
  <x:pageMargins left="0.7" right="0.7" top="0.75" bottom="0.75" header="0.3" footer="0.3"/>
  <x:tableParts count="1">
    <x:tablePart xmlns:r="http://schemas.openxmlformats.org/officeDocument/2006/relationships" r:id="R0b56609624ec437b"/>
  </x:tableParts>
</x:worksheet>
</file>

<file path=xl/worksheets/sheet12.xml><?xml version="1.0" encoding="utf-8"?>
<x:worksheet xmlns:x="http://schemas.openxmlformats.org/spreadsheetml/2006/main">
  <x:sheetPr>
    <x:tabColor rgb="FF507CA4"/>
  </x:sheetPr>
  <x:sheetViews>
    <x:sheetView showGridLines="0" workbookViewId="0">
      <x:pane ySplit="8" topLeftCell="A9" activePane="bottomLeft" state="frozen"/>
    </x:sheetView>
  </x:sheetViews>
  <x:sheetFormatPr defaultRowHeight="15"/>
  <x:cols>
    <x:col min="1" max="1" width="3" hidden="0" customWidth="1"/>
    <x:col min="2" max="2" width="13.130000114440918" hidden="0" customWidth="1"/>
    <x:col min="3" max="3" width="55.630001068115234" hidden="0" customWidth="1"/>
    <x:col min="4" max="4" width="19.3799991607666" hidden="0" customWidth="1"/>
    <x:col min="5" max="5" width="50" hidden="0" customWidth="1"/>
    <x:col min="6" max="6" width="2.5" hidden="0" customWidth="1"/>
    <x:col min="7" max="7" width="2.5" hidden="0" customWidth="1"/>
    <x:col min="8" max="8" width="3" hidden="0" customWidth="1"/>
  </x:cols>
  <x:sheetData>
    <x:row r="1" ht="23" customHeight="1">
      <x:c r="A1" s="2"/>
      <x:c r="B1" s="2"/>
      <x:c r="C1" s="2"/>
      <x:c r="D1" s="2"/>
      <x:c r="E1" s="2"/>
      <x:c r="F1" s="2"/>
      <x:c r="G1" s="2"/>
      <x:c r="H1" s="2"/>
    </x:row>
    <x:row r="2" ht="32" customHeight="1">
      <x:c r="A2" s="2"/>
      <x:c r="B2" s="4" t="str">
        <x:v>Next Steps</x:v>
      </x:c>
      <x:c r="C2" s="4" t="str">
        <x:v>Next Steps</x:v>
      </x:c>
      <x:c r="D2" s="4" t="str">
        <x:v>Next Steps</x:v>
      </x:c>
      <x:c r="E2" s="4" t="str">
        <x:v>Next Steps</x:v>
      </x:c>
      <x:c r="F2" s="4" t="str">
        <x:v>Next Steps</x:v>
      </x:c>
      <x:c r="G2" s="4" t="str">
        <x:v>Next Steps</x:v>
      </x:c>
      <x:c r="H2" s="2"/>
    </x:row>
    <x:row r="3" ht="23" customHeight="1">
      <x:c r="A3" s="2"/>
      <x:c r="B3" s="5"/>
      <x:c r="C3" s="5"/>
      <x:c r="D3" s="5"/>
      <x:c r="E3" s="5"/>
      <x:c r="F3" s="5"/>
      <x:c r="G3" s="5"/>
      <x:c r="H3" s="2"/>
    </x:row>
    <x:row r="4" ht="23" customHeight="1">
      <x:c r="A4" s="2"/>
      <x:c r="B4" s="2"/>
      <x:c r="C4" s="2"/>
      <x:c r="D4" s="2"/>
      <x:c r="E4" s="2"/>
      <x:c r="F4" s="2"/>
      <x:c r="G4" s="2"/>
      <x:c r="H4" s="2"/>
    </x:row>
    <x:row r="5" ht="23" customHeight="1">
      <x:c r="A5" s="2"/>
      <x:c r="B5" s="12" t="str">
        <x:v>Status is intentionally blank because no completion status was supplied for these actions.</x:v>
      </x:c>
      <x:c r="C5" s="12" t="str">
        <x:v>Status is intentionally blank because no completion status was supplied for these actions.</x:v>
      </x:c>
      <x:c r="D5" s="12" t="str">
        <x:v>Status is intentionally blank because no completion status was supplied for these actions.</x:v>
      </x:c>
      <x:c r="E5" s="12" t="str">
        <x:v>Status is intentionally blank because no completion status was supplied for these actions.</x:v>
      </x:c>
      <x:c r="F5" s="12" t="str">
        <x:v>Status is intentionally blank because no completion status was supplied for these actions.</x:v>
      </x:c>
      <x:c r="G5" s="12" t="str">
        <x:v>Status is intentionally blank because no completion status was supplied for these actions.</x:v>
      </x:c>
      <x:c r="H5" s="2"/>
    </x:row>
    <x:row r="6" ht="23" customHeight="1">
      <x:c r="A6" s="2"/>
      <x:c r="B6" s="2"/>
      <x:c r="C6" s="2"/>
      <x:c r="D6" s="2"/>
      <x:c r="E6" s="2"/>
      <x:c r="F6" s="2"/>
      <x:c r="G6" s="2"/>
      <x:c r="H6" s="2"/>
    </x:row>
    <x:row r="7" ht="23" customHeight="1">
      <x:c r="A7" s="2"/>
      <x:c r="B7" s="2"/>
      <x:c r="C7" s="2"/>
      <x:c r="D7" s="2"/>
      <x:c r="E7" s="2"/>
      <x:c r="F7" s="2"/>
      <x:c r="G7" s="2"/>
      <x:c r="H7" s="2"/>
    </x:row>
    <x:row r="8" ht="38" customHeight="1">
      <x:c r="A8" s="2"/>
      <x:c r="B8" s="16" t="str">
        <x:v>Priority</x:v>
      </x:c>
      <x:c r="C8" s="16" t="str">
        <x:v>Action</x:v>
      </x:c>
      <x:c r="D8" s="16" t="str">
        <x:v>Status</x:v>
      </x:c>
      <x:c r="E8" s="16" t="str">
        <x:v>Notes</x:v>
      </x:c>
      <x:c r="F8" s="2"/>
      <x:c r="G8" s="2"/>
      <x:c r="H8" s="2"/>
    </x:row>
    <x:row r="9" ht="48" customHeight="1">
      <x:c r="A9" s="2"/>
      <x:c r="B9" s="13" t="str">
        <x:v>Priority 1</x:v>
      </x:c>
      <x:c r="C9" s="13" t="str">
        <x:v>Consolidate all trend-derived features</x:v>
      </x:c>
      <x:c r="D9" s="13"/>
      <x:c r="E9" s="13" t="str">
        <x:v>Include numeric therapy, utilization, provider and plan candidates.</x:v>
      </x:c>
      <x:c r="F9" s="2"/>
      <x:c r="G9" s="2"/>
      <x:c r="H9" s="2"/>
    </x:row>
    <x:row r="10" ht="48" customHeight="1">
      <x:c r="A10" s="2"/>
      <x:c r="B10" s="13" t="str">
        <x:v>Priority 1</x:v>
      </x:c>
      <x:c r="C10" s="13" t="str">
        <x:v>Identify overlap with existing features</x:v>
      </x:c>
      <x:c r="D10" s="13"/>
      <x:c r="E10" s="13" t="str">
        <x:v>Reconcile supplied examples, benchmark inventory and complete NT1 baseline export.</x:v>
      </x:c>
      <x:c r="F10" s="2"/>
      <x:c r="G10" s="2"/>
      <x:c r="H10" s="2"/>
    </x:row>
    <x:row r="11" ht="48" customHeight="1">
      <x:c r="A11" s="2"/>
      <x:c r="B11" s="13" t="str">
        <x:v>Priority 1</x:v>
      </x:c>
      <x:c r="C11" s="13" t="str">
        <x:v>Map top diagnosis/procedure codes to readable categories</x:v>
      </x:c>
      <x:c r="D11" s="13"/>
      <x:c r="E11" s="13" t="str">
        <x:v>Obtain raw-code export and verified code descriptions.</x:v>
      </x:c>
      <x:c r="F11" s="2"/>
      <x:c r="G11" s="2"/>
      <x:c r="H11" s="2"/>
    </x:row>
    <x:row r="12" ht="48" customHeight="1">
      <x:c r="A12" s="2"/>
      <x:c r="B12" s="13" t="str">
        <x:v>Priority 1</x:v>
      </x:c>
      <x:c r="C12" s="13" t="str">
        <x:v>Validate strongest specialty signals</x:v>
      </x:c>
      <x:c r="D12" s="13"/>
      <x:c r="E12" s="13" t="str">
        <x:v>Obtain specialty export; confirm denominators and specialty mappings.</x:v>
      </x:c>
      <x:c r="F12" s="2"/>
      <x:c r="G12" s="2"/>
      <x:c r="H12" s="2"/>
    </x:row>
    <x:row r="13" ht="48" customHeight="1">
      <x:c r="A13" s="2"/>
      <x:c r="B13" s="13" t="str">
        <x:v>Priority 1</x:v>
      </x:c>
      <x:c r="C13" s="13" t="str">
        <x:v>Construct final training table</x:v>
      </x:c>
      <x:c r="D13" s="13"/>
      <x:c r="E13" s="13" t="str">
        <x:v>Freeze eligible snapshot keys, cutoff and label observability.</x:v>
      </x:c>
      <x:c r="F13" s="2"/>
      <x:c r="G13" s="2"/>
      <x:c r="H13" s="2"/>
    </x:row>
    <x:row r="14" ht="48" customHeight="1">
      <x:c r="A14" s="2"/>
      <x:c r="B14" s="13" t="str">
        <x:v>Priority 2</x:v>
      </x:c>
      <x:c r="C14" s="13" t="str">
        <x:v>Baseline + incremental-feature ablation</x:v>
      </x:c>
      <x:c r="D14" s="13"/>
      <x:c r="E14" s="13" t="str">
        <x:v>Use fixed evaluation cohort and feature groups.</x:v>
      </x:c>
      <x:c r="F14" s="2"/>
      <x:c r="G14" s="2"/>
      <x:c r="H14" s="2"/>
    </x:row>
    <x:row r="15" ht="48" customHeight="1">
      <x:c r="A15" s="2"/>
      <x:c r="B15" s="13" t="str">
        <x:v>Priority 2</x:v>
      </x:c>
      <x:c r="C15" s="13" t="str">
        <x:v>Temporal validation</x:v>
      </x:c>
      <x:c r="D15" s="13"/>
      <x:c r="E15" s="13" t="str">
        <x:v>Use mature outcomes and defined patient overlap policy.</x:v>
      </x:c>
      <x:c r="F15" s="2"/>
      <x:c r="G15" s="2"/>
      <x:c r="H15" s="2"/>
    </x:row>
    <x:row r="16" ht="48" customHeight="1">
      <x:c r="A16" s="2"/>
      <x:c r="B16" s="13" t="str">
        <x:v>Priority 2</x:v>
      </x:c>
      <x:c r="C16" s="13" t="str">
        <x:v>SHAP analysis</x:v>
      </x:c>
      <x:c r="D16" s="13"/>
      <x:c r="E16" s="13" t="str">
        <x:v>Assess contribution and stability; do not infer causality.</x:v>
      </x:c>
      <x:c r="F16" s="2"/>
      <x:c r="G16" s="2"/>
      <x:c r="H16" s="2"/>
    </x:row>
    <x:row r="17" ht="48" customHeight="1">
      <x:c r="A17" s="2"/>
      <x:c r="B17" s="13" t="str">
        <x:v>Priority 2</x:v>
      </x:c>
      <x:c r="C17" s="13" t="str">
        <x:v>Error analysis by responder/non-responder group</x:v>
      </x:c>
      <x:c r="D17" s="13"/>
      <x:c r="E17" s="13" t="str">
        <x:v>Review false positives and false negatives within outcome groups.</x:v>
      </x:c>
      <x:c r="F17" s="2"/>
      <x:c r="G17" s="2"/>
      <x:c r="H17" s="2"/>
    </x:row>
    <x:row r="18" ht="48" customHeight="1">
      <x:c r="A18" s="2"/>
      <x:c r="B18" s="13" t="str">
        <x:v>Priority 3</x:v>
      </x:c>
      <x:c r="C18" s="13" t="str">
        <x:v>Deep-learning benchmark</x:v>
      </x:c>
      <x:c r="D18" s="13"/>
      <x:c r="E18" s="13" t="str">
        <x:v>After testing incremental engineered-feature value.</x:v>
      </x:c>
      <x:c r="F18" s="2"/>
      <x:c r="G18" s="2"/>
      <x:c r="H18" s="2"/>
    </x:row>
    <x:row r="19" ht="48" customHeight="1">
      <x:c r="A19" s="2"/>
      <x:c r="B19" s="13" t="str">
        <x:v>Priority 3</x:v>
      </x:c>
      <x:c r="C19" s="13" t="str">
        <x:v>Sequence-based event representation</x:v>
      </x:c>
      <x:c r="D19" s="13"/>
      <x:c r="E19" s="13" t="str">
        <x:v>Respect feature cutoff and product / code mappings.</x:v>
      </x:c>
      <x:c r="F19" s="2"/>
      <x:c r="G19" s="2"/>
      <x:c r="H19" s="2"/>
    </x:row>
    <x:row r="20" ht="48" customHeight="1">
      <x:c r="A20" s="2"/>
      <x:c r="B20" s="13" t="str">
        <x:v>Priority 3</x:v>
      </x:c>
      <x:c r="C20" s="13" t="str">
        <x:v>GRU / Transformer comparison</x:v>
      </x:c>
      <x:c r="D20" s="13"/>
      <x:c r="E20" s="13" t="str">
        <x:v>Compare with engineered LightGBM and MLP under the same evaluation rules.</x:v>
      </x:c>
      <x:c r="F20" s="2"/>
      <x:c r="G20" s="2"/>
      <x:c r="H20" s="2"/>
    </x:row>
    <x:row r="21" ht="23" customHeight="1">
      <x:c r="A21" s="2"/>
      <x:c r="B21" s="2"/>
      <x:c r="C21" s="2"/>
      <x:c r="D21" s="2"/>
      <x:c r="E21" s="2"/>
      <x:c r="F21" s="2"/>
      <x:c r="G21" s="2"/>
      <x:c r="H21" s="2"/>
    </x:row>
    <x:row r="22" ht="23" customHeight="1">
      <x:c r="A22" s="2"/>
      <x:c r="B22" s="2"/>
      <x:c r="C22" s="2"/>
      <x:c r="D22" s="2"/>
      <x:c r="E22" s="2"/>
      <x:c r="F22" s="2"/>
      <x:c r="G22" s="2"/>
      <x:c r="H22" s="2"/>
    </x:row>
    <x:row r="23" ht="23" customHeight="1">
      <x:c r="A23" s="2"/>
      <x:c r="B23" s="19" t="str">
        <x:v>Immediate dependencies</x:v>
      </x:c>
      <x:c r="C23" s="19" t="str">
        <x:v>Immediate dependencies</x:v>
      </x:c>
      <x:c r="D23" s="19" t="str">
        <x:v>Immediate dependencies</x:v>
      </x:c>
      <x:c r="E23" s="19" t="str">
        <x:v>Immediate dependencies</x:v>
      </x:c>
      <x:c r="F23" s="19" t="str">
        <x:v>Immediate dependencies</x:v>
      </x:c>
      <x:c r="G23" s="19" t="str">
        <x:v>Immediate dependencies</x:v>
      </x:c>
      <x:c r="H23" s="2"/>
    </x:row>
    <x:row r="24" ht="44" customHeight="1">
      <x:c r="A24" s="2"/>
      <x:c r="B24" s="21" t="str">
        <x:v>Diagnosis/procedure raw-code export; specialty trend export; complete NT1 baseline feature inventory; final eligible population counts; exact plan source and mapping.</x:v>
      </x:c>
      <x:c r="C24" s="21" t="str">
        <x:v>Diagnosis/procedure raw-code export; specialty trend export; complete NT1 baseline feature inventory; final eligible population counts; exact plan source and mapping.</x:v>
      </x:c>
      <x:c r="D24" s="21" t="str">
        <x:v>Diagnosis/procedure raw-code export; specialty trend export; complete NT1 baseline feature inventory; final eligible population counts; exact plan source and mapping.</x:v>
      </x:c>
      <x:c r="E24" s="21" t="str">
        <x:v>Diagnosis/procedure raw-code export; specialty trend export; complete NT1 baseline feature inventory; final eligible population counts; exact plan source and mapping.</x:v>
      </x:c>
      <x:c r="F24" s="21" t="str">
        <x:v>Diagnosis/procedure raw-code export; specialty trend export; complete NT1 baseline feature inventory; final eligible population counts; exact plan source and mapping.</x:v>
      </x:c>
      <x:c r="G24" s="21" t="str">
        <x:v>Diagnosis/procedure raw-code export; specialty trend export; complete NT1 baseline feature inventory; final eligible population counts; exact plan source and mapping.</x:v>
      </x:c>
      <x:c r="H24" s="2"/>
    </x:row>
    <x:row r="25" ht="23" customHeight="1">
      <x:c r="A25" s="2"/>
      <x:c r="B25" s="2"/>
      <x:c r="C25" s="2"/>
      <x:c r="D25" s="2"/>
      <x:c r="E25" s="2"/>
      <x:c r="F25" s="2"/>
      <x:c r="G25" s="2"/>
      <x:c r="H25" s="2"/>
    </x:row>
    <x:row r="26" ht="23" customHeight="1">
      <x:c r="A26" s="2"/>
      <x:c r="B26" s="2"/>
      <x:c r="C26" s="2"/>
      <x:c r="D26" s="2"/>
      <x:c r="E26" s="2"/>
      <x:c r="F26" s="2"/>
      <x:c r="G26" s="2"/>
      <x:c r="H26" s="2"/>
    </x:row>
    <x:row r="27" ht="23" customHeight="1">
      <x:c r="A27" s="2"/>
      <x:c r="B27" s="2"/>
      <x:c r="C27" s="2"/>
      <x:c r="D27" s="2"/>
      <x:c r="E27" s="2"/>
      <x:c r="F27" s="2"/>
      <x:c r="G27" s="2"/>
      <x:c r="H27" s="2"/>
    </x:row>
    <x:row r="28" ht="23" customHeight="1">
      <x:c r="A28" s="2"/>
      <x:c r="B28" s="2"/>
      <x:c r="C28" s="2"/>
      <x:c r="D28" s="2"/>
      <x:c r="E28" s="2"/>
      <x:c r="F28" s="2"/>
      <x:c r="G28" s="2"/>
      <x:c r="H28" s="2"/>
    </x:row>
    <x:row r="29" ht="23" customHeight="1">
      <x:c r="A29" s="2"/>
      <x:c r="B29" s="2"/>
      <x:c r="C29" s="2"/>
      <x:c r="D29" s="2"/>
      <x:c r="E29" s="2"/>
      <x:c r="F29" s="2"/>
      <x:c r="G29" s="2"/>
      <x:c r="H29" s="2"/>
    </x:row>
    <x:row r="30" ht="23" customHeight="1">
      <x:c r="A30" s="2"/>
      <x:c r="B30" s="2"/>
      <x:c r="C30" s="2"/>
      <x:c r="D30" s="2"/>
      <x:c r="E30" s="2"/>
      <x:c r="F30" s="2"/>
      <x:c r="G30" s="2"/>
      <x:c r="H30" s="2"/>
    </x:row>
    <x:row r="31" ht="23" customHeight="1">
      <x:c r="A31" s="2"/>
      <x:c r="B31" s="2"/>
      <x:c r="C31" s="2"/>
      <x:c r="D31" s="2"/>
      <x:c r="E31" s="2"/>
      <x:c r="F31" s="2"/>
      <x:c r="G31" s="2"/>
      <x:c r="H31" s="2"/>
    </x:row>
  </x:sheetData>
  <x:mergeCells>
    <x:mergeCell ref="B2:G2"/>
    <x:mergeCell ref="B5:G5"/>
    <x:mergeCell ref="B23:G23"/>
    <x:mergeCell ref="B24:G24"/>
  </x:mergeCells>
  <x:conditionalFormatting sqref="B9:B20">
    <x:cfRule type="containsText" dxfId="35" priority="1" operator="containsText" text="Priority 1"/>
  </x:conditionalFormatting>
  <x:dataValidations count="1">
    <x:dataValidation type="list" sqref="D9:D20">
      <x:formula1>"Not started,In progress,Complete,Blocked"</x:formula1>
    </x:dataValidation>
  </x:dataValidations>
  <x:pageMargins left="0.7" right="0.7" top="0.75" bottom="0.75" header="0.3" footer="0.3"/>
  <x:tableParts count="1">
    <x:tablePart xmlns:r="http://schemas.openxmlformats.org/officeDocument/2006/relationships" r:id="R5d44584f9eec43e4"/>
  </x:tableParts>
</x:worksheet>
</file>